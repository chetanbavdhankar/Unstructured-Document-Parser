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fusion_Matrix" sheetId="2" state="visible" r:id="rId4"/>
    <sheet name="Precision_Recall_F1" sheetId="3" state="visible" r:id="rId5"/>
    <sheet name="Alert_Volumes" sheetId="4" state="visible" r:id="rId6"/>
    <sheet name="Threshold_Settings" sheetId="5" state="visible" r:id="rId7"/>
    <sheet name="Effectiveness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<sst xmlns="http://schemas.openxmlformats.org/spreadsheetml/2006/main" count="1446" uniqueCount="298">
  <si>
    <t xml:space="preserve">Model Performance Metrics</t>
  </si>
  <si>
    <t xml:space="preserve">Synthetic AML transaction-monitoring corpus | 100 scenario models | one model per row</t>
  </si>
  <si>
    <t xml:space="preserve">Model</t>
  </si>
  <si>
    <t xml:space="preserve">Code</t>
  </si>
  <si>
    <t xml:space="preserve">Typology</t>
  </si>
  <si>
    <t xml:space="preserve">Family</t>
  </si>
  <si>
    <t xml:space="preserve">Booking Entity</t>
  </si>
  <si>
    <t xml:space="preserve">Segment</t>
  </si>
  <si>
    <t xml:space="preserve">Owner</t>
  </si>
  <si>
    <t xml:space="preserve">Lifecycle Status</t>
  </si>
  <si>
    <t xml:space="preserve">Model 1</t>
  </si>
  <si>
    <t xml:space="preserve">TM-STR-001</t>
  </si>
  <si>
    <t xml:space="preserve">Structuring</t>
  </si>
  <si>
    <t xml:space="preserve">Structuring Detection Family</t>
  </si>
  <si>
    <t xml:space="preserve">Entity A</t>
  </si>
  <si>
    <t xml:space="preserve">Retail</t>
  </si>
  <si>
    <t xml:space="preserve">A. Kowalski</t>
  </si>
  <si>
    <t xml:space="preserve">Production</t>
  </si>
  <si>
    <t xml:space="preserve">Model 2</t>
  </si>
  <si>
    <t xml:space="preserve">TM-RMF-002</t>
  </si>
  <si>
    <t xml:space="preserve">Rapid Movement of Funds</t>
  </si>
  <si>
    <t xml:space="preserve">Rapid-Movement Family</t>
  </si>
  <si>
    <t xml:space="preserve">Entity B</t>
  </si>
  <si>
    <t xml:space="preserve">SME</t>
  </si>
  <si>
    <t xml:space="preserve">B. Nowak</t>
  </si>
  <si>
    <t xml:space="preserve">Model 3</t>
  </si>
  <si>
    <t xml:space="preserve">TM-GEO-003</t>
  </si>
  <si>
    <t xml:space="preserve">High-Risk Jurisdiction</t>
  </si>
  <si>
    <t xml:space="preserve">Geographic-Risk Family</t>
  </si>
  <si>
    <t xml:space="preserve">Entity C</t>
  </si>
  <si>
    <t xml:space="preserve">Corporate</t>
  </si>
  <si>
    <t xml:space="preserve">C. Lewandowska</t>
  </si>
  <si>
    <t xml:space="preserve">Model 4</t>
  </si>
  <si>
    <t xml:space="preserve">TM-CASH-004</t>
  </si>
  <si>
    <t xml:space="preserve">Cash-Intensive Business</t>
  </si>
  <si>
    <t xml:space="preserve">Cash-Anomaly Family</t>
  </si>
  <si>
    <t xml:space="preserve">Entity D</t>
  </si>
  <si>
    <t xml:space="preserve">Private Banking</t>
  </si>
  <si>
    <t xml:space="preserve">D. Wójcik</t>
  </si>
  <si>
    <t xml:space="preserve">Tuning</t>
  </si>
  <si>
    <t xml:space="preserve">Model 5</t>
  </si>
  <si>
    <t xml:space="preserve">TM-TBML-005</t>
  </si>
  <si>
    <t xml:space="preserve">Trade-Based ML</t>
  </si>
  <si>
    <t xml:space="preserve">Trade-Based Family</t>
  </si>
  <si>
    <t xml:space="preserve">Entity E</t>
  </si>
  <si>
    <t xml:space="preserve">Correspondent</t>
  </si>
  <si>
    <t xml:space="preserve">E. Kamiński</t>
  </si>
  <si>
    <t xml:space="preserve">Validation</t>
  </si>
  <si>
    <t xml:space="preserve">Model 6</t>
  </si>
  <si>
    <t xml:space="preserve">TM-BEHAV-006</t>
  </si>
  <si>
    <t xml:space="preserve">Dormant Reactivation</t>
  </si>
  <si>
    <t xml:space="preserve">Behavioural-Anomaly Family</t>
  </si>
  <si>
    <t xml:space="preserve">Entity F</t>
  </si>
  <si>
    <t xml:space="preserve">F. Zielińska</t>
  </si>
  <si>
    <t xml:space="preserve">Decommissioning</t>
  </si>
  <si>
    <t xml:space="preserve">Model 7</t>
  </si>
  <si>
    <t xml:space="preserve">TM-CRYPTO-007</t>
  </si>
  <si>
    <t xml:space="preserve">Round-Amount Transactions</t>
  </si>
  <si>
    <t xml:space="preserve">Virtual-Asset Family</t>
  </si>
  <si>
    <t xml:space="preserve">Entity G</t>
  </si>
  <si>
    <t xml:space="preserve">G. Szymański</t>
  </si>
  <si>
    <t xml:space="preserve">Model 8</t>
  </si>
  <si>
    <t xml:space="preserve">TM-NETWORK-008</t>
  </si>
  <si>
    <t xml:space="preserve">Velocity Anomaly</t>
  </si>
  <si>
    <t xml:space="preserve">Network-Linkage Family</t>
  </si>
  <si>
    <t xml:space="preserve">Entity H</t>
  </si>
  <si>
    <t xml:space="preserve">H. Woźniak</t>
  </si>
  <si>
    <t xml:space="preserve">Model 9</t>
  </si>
  <si>
    <t xml:space="preserve">TM-STR-009</t>
  </si>
  <si>
    <t xml:space="preserve">Threshold Avoidance</t>
  </si>
  <si>
    <t xml:space="preserve">Entity I</t>
  </si>
  <si>
    <t xml:space="preserve">I. Dąbrowski</t>
  </si>
  <si>
    <t xml:space="preserve">Model 10</t>
  </si>
  <si>
    <t xml:space="preserve">TM-RMF-010</t>
  </si>
  <si>
    <t xml:space="preserve">Funnel Account</t>
  </si>
  <si>
    <t xml:space="preserve">Entity J</t>
  </si>
  <si>
    <t xml:space="preserve">J. Kozłowska</t>
  </si>
  <si>
    <t xml:space="preserve">Model 11</t>
  </si>
  <si>
    <t xml:space="preserve">TM-GEO-011</t>
  </si>
  <si>
    <t xml:space="preserve">Mule Account Behaviour</t>
  </si>
  <si>
    <t xml:space="preserve">Model 12</t>
  </si>
  <si>
    <t xml:space="preserve">TM-CASH-012</t>
  </si>
  <si>
    <t xml:space="preserve">PEP Activity</t>
  </si>
  <si>
    <t xml:space="preserve">Model 13</t>
  </si>
  <si>
    <t xml:space="preserve">TM-TBML-013</t>
  </si>
  <si>
    <t xml:space="preserve">Sanctions Proximity</t>
  </si>
  <si>
    <t xml:space="preserve">Model 14</t>
  </si>
  <si>
    <t xml:space="preserve">TM-BEHAV-014</t>
  </si>
  <si>
    <t xml:space="preserve">Crypto On/Off-Ramp</t>
  </si>
  <si>
    <t xml:space="preserve">Model 15</t>
  </si>
  <si>
    <t xml:space="preserve">TM-CRYPTO-015</t>
  </si>
  <si>
    <t xml:space="preserve">Nested Correspondent</t>
  </si>
  <si>
    <t xml:space="preserve">Model 16</t>
  </si>
  <si>
    <t xml:space="preserve">TM-NETWORK-016</t>
  </si>
  <si>
    <t xml:space="preserve">Shell Company Flow</t>
  </si>
  <si>
    <t xml:space="preserve">Model 17</t>
  </si>
  <si>
    <t xml:space="preserve">TM-STR-017</t>
  </si>
  <si>
    <t xml:space="preserve">Smurfing Network</t>
  </si>
  <si>
    <t xml:space="preserve">Model 18</t>
  </si>
  <si>
    <t xml:space="preserve">TM-RMF-018</t>
  </si>
  <si>
    <t xml:space="preserve">Wire Stripping</t>
  </si>
  <si>
    <t xml:space="preserve">Model 19</t>
  </si>
  <si>
    <t xml:space="preserve">TM-GEO-019</t>
  </si>
  <si>
    <t xml:space="preserve">ATM Cycling</t>
  </si>
  <si>
    <t xml:space="preserve">Model 20</t>
  </si>
  <si>
    <t xml:space="preserve">TM-CASH-020</t>
  </si>
  <si>
    <t xml:space="preserve">Layering via Securities</t>
  </si>
  <si>
    <t xml:space="preserve">Model 21</t>
  </si>
  <si>
    <t xml:space="preserve">TM-TBML-021</t>
  </si>
  <si>
    <t xml:space="preserve">Model 22</t>
  </si>
  <si>
    <t xml:space="preserve">TM-BEHAV-022</t>
  </si>
  <si>
    <t xml:space="preserve">Model 23</t>
  </si>
  <si>
    <t xml:space="preserve">TM-CRYPTO-023</t>
  </si>
  <si>
    <t xml:space="preserve">Model 24</t>
  </si>
  <si>
    <t xml:space="preserve">TM-NETWORK-024</t>
  </si>
  <si>
    <t xml:space="preserve">Model 25</t>
  </si>
  <si>
    <t xml:space="preserve">TM-STR-025</t>
  </si>
  <si>
    <t xml:space="preserve">Model 26</t>
  </si>
  <si>
    <t xml:space="preserve">TM-RMF-026</t>
  </si>
  <si>
    <t xml:space="preserve">Model 27</t>
  </si>
  <si>
    <t xml:space="preserve">TM-GEO-027</t>
  </si>
  <si>
    <t xml:space="preserve">Model 28</t>
  </si>
  <si>
    <t xml:space="preserve">TM-CASH-028</t>
  </si>
  <si>
    <t xml:space="preserve">Model 29</t>
  </si>
  <si>
    <t xml:space="preserve">TM-TBML-029</t>
  </si>
  <si>
    <t xml:space="preserve">Model 30</t>
  </si>
  <si>
    <t xml:space="preserve">TM-BEHAV-030</t>
  </si>
  <si>
    <t xml:space="preserve">Model 31</t>
  </si>
  <si>
    <t xml:space="preserve">TM-CRYPTO-031</t>
  </si>
  <si>
    <t xml:space="preserve">Model 32</t>
  </si>
  <si>
    <t xml:space="preserve">TM-NETWORK-032</t>
  </si>
  <si>
    <t xml:space="preserve">Model 33</t>
  </si>
  <si>
    <t xml:space="preserve">TM-STR-033</t>
  </si>
  <si>
    <t xml:space="preserve">Model 34</t>
  </si>
  <si>
    <t xml:space="preserve">TM-RMF-034</t>
  </si>
  <si>
    <t xml:space="preserve">Model 35</t>
  </si>
  <si>
    <t xml:space="preserve">TM-GEO-035</t>
  </si>
  <si>
    <t xml:space="preserve">Model 36</t>
  </si>
  <si>
    <t xml:space="preserve">TM-CASH-036</t>
  </si>
  <si>
    <t xml:space="preserve">Model 37</t>
  </si>
  <si>
    <t xml:space="preserve">TM-TBML-037</t>
  </si>
  <si>
    <t xml:space="preserve">Model 38</t>
  </si>
  <si>
    <t xml:space="preserve">TM-BEHAV-038</t>
  </si>
  <si>
    <t xml:space="preserve">Model 39</t>
  </si>
  <si>
    <t xml:space="preserve">TM-CRYPTO-039</t>
  </si>
  <si>
    <t xml:space="preserve">Model 40</t>
  </si>
  <si>
    <t xml:space="preserve">TM-NETWORK-040</t>
  </si>
  <si>
    <t xml:space="preserve">Model 41</t>
  </si>
  <si>
    <t xml:space="preserve">TM-STR-041</t>
  </si>
  <si>
    <t xml:space="preserve">Model 42</t>
  </si>
  <si>
    <t xml:space="preserve">TM-RMF-042</t>
  </si>
  <si>
    <t xml:space="preserve">Model 43</t>
  </si>
  <si>
    <t xml:space="preserve">TM-GEO-043</t>
  </si>
  <si>
    <t xml:space="preserve">Model 44</t>
  </si>
  <si>
    <t xml:space="preserve">TM-CASH-044</t>
  </si>
  <si>
    <t xml:space="preserve">Model 45</t>
  </si>
  <si>
    <t xml:space="preserve">TM-TBML-045</t>
  </si>
  <si>
    <t xml:space="preserve">Model 46</t>
  </si>
  <si>
    <t xml:space="preserve">TM-BEHAV-046</t>
  </si>
  <si>
    <t xml:space="preserve">Model 47</t>
  </si>
  <si>
    <t xml:space="preserve">TM-CRYPTO-047</t>
  </si>
  <si>
    <t xml:space="preserve">Model 48</t>
  </si>
  <si>
    <t xml:space="preserve">TM-NETWORK-048</t>
  </si>
  <si>
    <t xml:space="preserve">Model 49</t>
  </si>
  <si>
    <t xml:space="preserve">TM-STR-049</t>
  </si>
  <si>
    <t xml:space="preserve">Model 50</t>
  </si>
  <si>
    <t xml:space="preserve">TM-RMF-050</t>
  </si>
  <si>
    <t xml:space="preserve">Model 51</t>
  </si>
  <si>
    <t xml:space="preserve">TM-GEO-051</t>
  </si>
  <si>
    <t xml:space="preserve">Model 52</t>
  </si>
  <si>
    <t xml:space="preserve">TM-CASH-052</t>
  </si>
  <si>
    <t xml:space="preserve">Model 53</t>
  </si>
  <si>
    <t xml:space="preserve">TM-TBML-053</t>
  </si>
  <si>
    <t xml:space="preserve">Model 54</t>
  </si>
  <si>
    <t xml:space="preserve">TM-BEHAV-054</t>
  </si>
  <si>
    <t xml:space="preserve">Model 55</t>
  </si>
  <si>
    <t xml:space="preserve">TM-CRYPTO-055</t>
  </si>
  <si>
    <t xml:space="preserve">Model 56</t>
  </si>
  <si>
    <t xml:space="preserve">TM-NETWORK-056</t>
  </si>
  <si>
    <t xml:space="preserve">Model 57</t>
  </si>
  <si>
    <t xml:space="preserve">TM-STR-057</t>
  </si>
  <si>
    <t xml:space="preserve">Model 58</t>
  </si>
  <si>
    <t xml:space="preserve">TM-RMF-058</t>
  </si>
  <si>
    <t xml:space="preserve">Model 59</t>
  </si>
  <si>
    <t xml:space="preserve">TM-GEO-059</t>
  </si>
  <si>
    <t xml:space="preserve">Model 60</t>
  </si>
  <si>
    <t xml:space="preserve">TM-CASH-060</t>
  </si>
  <si>
    <t xml:space="preserve">Model 61</t>
  </si>
  <si>
    <t xml:space="preserve">TM-TBML-061</t>
  </si>
  <si>
    <t xml:space="preserve">Model 62</t>
  </si>
  <si>
    <t xml:space="preserve">TM-BEHAV-062</t>
  </si>
  <si>
    <t xml:space="preserve">Model 63</t>
  </si>
  <si>
    <t xml:space="preserve">TM-CRYPTO-063</t>
  </si>
  <si>
    <t xml:space="preserve">Model 64</t>
  </si>
  <si>
    <t xml:space="preserve">TM-NETWORK-064</t>
  </si>
  <si>
    <t xml:space="preserve">Model 65</t>
  </si>
  <si>
    <t xml:space="preserve">TM-STR-065</t>
  </si>
  <si>
    <t xml:space="preserve">Model 66</t>
  </si>
  <si>
    <t xml:space="preserve">TM-RMF-066</t>
  </si>
  <si>
    <t xml:space="preserve">Model 67</t>
  </si>
  <si>
    <t xml:space="preserve">TM-GEO-067</t>
  </si>
  <si>
    <t xml:space="preserve">Model 68</t>
  </si>
  <si>
    <t xml:space="preserve">TM-CASH-068</t>
  </si>
  <si>
    <t xml:space="preserve">Model 69</t>
  </si>
  <si>
    <t xml:space="preserve">TM-TBML-069</t>
  </si>
  <si>
    <t xml:space="preserve">Model 70</t>
  </si>
  <si>
    <t xml:space="preserve">TM-BEHAV-070</t>
  </si>
  <si>
    <t xml:space="preserve">Model 71</t>
  </si>
  <si>
    <t xml:space="preserve">TM-CRYPTO-071</t>
  </si>
  <si>
    <t xml:space="preserve">Model 72</t>
  </si>
  <si>
    <t xml:space="preserve">TM-NETWORK-072</t>
  </si>
  <si>
    <t xml:space="preserve">Model 73</t>
  </si>
  <si>
    <t xml:space="preserve">TM-STR-073</t>
  </si>
  <si>
    <t xml:space="preserve">Model 74</t>
  </si>
  <si>
    <t xml:space="preserve">TM-RMF-074</t>
  </si>
  <si>
    <t xml:space="preserve">Model 75</t>
  </si>
  <si>
    <t xml:space="preserve">TM-GEO-075</t>
  </si>
  <si>
    <t xml:space="preserve">Model 76</t>
  </si>
  <si>
    <t xml:space="preserve">TM-CASH-076</t>
  </si>
  <si>
    <t xml:space="preserve">Model 77</t>
  </si>
  <si>
    <t xml:space="preserve">TM-TBML-077</t>
  </si>
  <si>
    <t xml:space="preserve">Model 78</t>
  </si>
  <si>
    <t xml:space="preserve">TM-BEHAV-078</t>
  </si>
  <si>
    <t xml:space="preserve">Model 79</t>
  </si>
  <si>
    <t xml:space="preserve">TM-CRYPTO-079</t>
  </si>
  <si>
    <t xml:space="preserve">Model 80</t>
  </si>
  <si>
    <t xml:space="preserve">TM-NETWORK-080</t>
  </si>
  <si>
    <t xml:space="preserve">Model 81</t>
  </si>
  <si>
    <t xml:space="preserve">TM-STR-081</t>
  </si>
  <si>
    <t xml:space="preserve">Model 82</t>
  </si>
  <si>
    <t xml:space="preserve">TM-RMF-082</t>
  </si>
  <si>
    <t xml:space="preserve">Model 83</t>
  </si>
  <si>
    <t xml:space="preserve">TM-GEO-083</t>
  </si>
  <si>
    <t xml:space="preserve">Model 84</t>
  </si>
  <si>
    <t xml:space="preserve">TM-CASH-084</t>
  </si>
  <si>
    <t xml:space="preserve">Model 85</t>
  </si>
  <si>
    <t xml:space="preserve">TM-TBML-085</t>
  </si>
  <si>
    <t xml:space="preserve">Model 86</t>
  </si>
  <si>
    <t xml:space="preserve">TM-BEHAV-086</t>
  </si>
  <si>
    <t xml:space="preserve">Model 87</t>
  </si>
  <si>
    <t xml:space="preserve">TM-CRYPTO-087</t>
  </si>
  <si>
    <t xml:space="preserve">Model 88</t>
  </si>
  <si>
    <t xml:space="preserve">TM-NETWORK-088</t>
  </si>
  <si>
    <t xml:space="preserve">Model 89</t>
  </si>
  <si>
    <t xml:space="preserve">TM-STR-089</t>
  </si>
  <si>
    <t xml:space="preserve">Model 90</t>
  </si>
  <si>
    <t xml:space="preserve">TM-RMF-090</t>
  </si>
  <si>
    <t xml:space="preserve">Model 91</t>
  </si>
  <si>
    <t xml:space="preserve">TM-GEO-091</t>
  </si>
  <si>
    <t xml:space="preserve">Model 92</t>
  </si>
  <si>
    <t xml:space="preserve">TM-CASH-092</t>
  </si>
  <si>
    <t xml:space="preserve">Model 93</t>
  </si>
  <si>
    <t xml:space="preserve">TM-TBML-093</t>
  </si>
  <si>
    <t xml:space="preserve">Model 94</t>
  </si>
  <si>
    <t xml:space="preserve">TM-BEHAV-094</t>
  </si>
  <si>
    <t xml:space="preserve">Model 95</t>
  </si>
  <si>
    <t xml:space="preserve">TM-CRYPTO-095</t>
  </si>
  <si>
    <t xml:space="preserve">Model 96</t>
  </si>
  <si>
    <t xml:space="preserve">TM-NETWORK-096</t>
  </si>
  <si>
    <t xml:space="preserve">Model 97</t>
  </si>
  <si>
    <t xml:space="preserve">TM-STR-097</t>
  </si>
  <si>
    <t xml:space="preserve">Model 98</t>
  </si>
  <si>
    <t xml:space="preserve">TM-RMF-098</t>
  </si>
  <si>
    <t xml:space="preserve">Model 99</t>
  </si>
  <si>
    <t xml:space="preserve">TM-GEO-099</t>
  </si>
  <si>
    <t xml:space="preserve">Model 100</t>
  </si>
  <si>
    <t xml:space="preserve">TM-CASH-100</t>
  </si>
  <si>
    <t xml:space="preserve">Confusion Matrix</t>
  </si>
  <si>
    <t xml:space="preserve">Raw quarterly counts per model. Total Alerts = TP + FP (formula).</t>
  </si>
  <si>
    <t xml:space="preserve">True Positives</t>
  </si>
  <si>
    <t xml:space="preserve">False Positives</t>
  </si>
  <si>
    <t xml:space="preserve">False Negatives</t>
  </si>
  <si>
    <t xml:space="preserve">True Negatives</t>
  </si>
  <si>
    <t xml:space="preserve">Total Alerts</t>
  </si>
  <si>
    <t xml:space="preserve">Total Population</t>
  </si>
  <si>
    <t xml:space="preserve">Precision / Recall / F1</t>
  </si>
  <si>
    <t xml:space="preserve">All metrics computed by formula from Confusion_Matrix sheet.</t>
  </si>
  <si>
    <t xml:space="preserve">Precision</t>
  </si>
  <si>
    <t xml:space="preserve">Recall</t>
  </si>
  <si>
    <t xml:space="preserve">F1 Score</t>
  </si>
  <si>
    <t xml:space="preserve">Specificity</t>
  </si>
  <si>
    <t xml:space="preserve">Alert Volumes &amp; SAR Conversion</t>
  </si>
  <si>
    <t xml:space="preserve">Conversion Rate = SARs / Total Alerts (formula).</t>
  </si>
  <si>
    <t xml:space="preserve">SARs Filed</t>
  </si>
  <si>
    <t xml:space="preserve">Conversion Rate</t>
  </si>
  <si>
    <t xml:space="preserve">Alerts / 1k Population</t>
  </si>
  <si>
    <t xml:space="preserve">Threshold &amp; Sensitivity Settings</t>
  </si>
  <si>
    <t xml:space="preserve">Blue cells are tunable inputs (scenario parameters).</t>
  </si>
  <si>
    <t xml:space="preserve">Score Threshold</t>
  </si>
  <si>
    <t xml:space="preserve">Lookback (days)</t>
  </si>
  <si>
    <t xml:space="preserve">Min Amount ($)</t>
  </si>
  <si>
    <t xml:space="preserve">Sensitivity Band</t>
  </si>
  <si>
    <t xml:space="preserve">Balanced</t>
  </si>
  <si>
    <t xml:space="preserve">Conservative</t>
  </si>
  <si>
    <t xml:space="preserve">Aggressive</t>
  </si>
  <si>
    <t xml:space="preserve">Effectiveness Summary</t>
  </si>
  <si>
    <t xml:space="preserve">Composite effectiveness links F1 and conversion rate across sheets.</t>
  </si>
  <si>
    <t xml:space="preserve">Composite Effectiveness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</si>
</sst>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15</v>
      </c>
      <c r="G10" s="5" t="s">
        <v>53</v>
      </c>
      <c r="H10" s="5" t="s">
        <v>54</v>
      </c>
    </row>
    <row r="11" customFormat="false" ht="15" hidden="false" customHeight="false" outlineLevel="0" collapsed="false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23</v>
      </c>
      <c r="G11" s="5" t="s">
        <v>60</v>
      </c>
      <c r="H11" s="5" t="s">
        <v>17</v>
      </c>
    </row>
    <row r="12" customFormat="false" ht="15" hidden="false" customHeight="false" outlineLevel="0" collapsed="false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30</v>
      </c>
      <c r="G12" s="5" t="s">
        <v>66</v>
      </c>
      <c r="H12" s="5" t="s">
        <v>17</v>
      </c>
    </row>
    <row r="13" customFormat="false" ht="15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13</v>
      </c>
      <c r="E13" s="5" t="s">
        <v>70</v>
      </c>
      <c r="F13" s="5" t="s">
        <v>37</v>
      </c>
      <c r="G13" s="5" t="s">
        <v>71</v>
      </c>
      <c r="H13" s="5" t="s">
        <v>17</v>
      </c>
    </row>
    <row r="14" customFormat="false" ht="1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21</v>
      </c>
      <c r="E14" s="5" t="s">
        <v>75</v>
      </c>
      <c r="F14" s="5" t="s">
        <v>45</v>
      </c>
      <c r="G14" s="5" t="s">
        <v>76</v>
      </c>
      <c r="H14" s="5" t="s">
        <v>39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28</v>
      </c>
      <c r="E15" s="5" t="s">
        <v>14</v>
      </c>
      <c r="F15" s="5" t="s">
        <v>15</v>
      </c>
      <c r="G15" s="5" t="s">
        <v>16</v>
      </c>
      <c r="H15" s="5" t="s">
        <v>47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5" t="s">
        <v>82</v>
      </c>
      <c r="D16" s="5" t="s">
        <v>35</v>
      </c>
      <c r="E16" s="5" t="s">
        <v>22</v>
      </c>
      <c r="F16" s="5" t="s">
        <v>23</v>
      </c>
      <c r="G16" s="5" t="s">
        <v>24</v>
      </c>
      <c r="H16" s="5" t="s">
        <v>54</v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43</v>
      </c>
      <c r="E17" s="5" t="s">
        <v>29</v>
      </c>
      <c r="F17" s="5" t="s">
        <v>30</v>
      </c>
      <c r="G17" s="5" t="s">
        <v>31</v>
      </c>
      <c r="H17" s="5" t="s">
        <v>17</v>
      </c>
    </row>
    <row r="18" customFormat="false" ht="15" hidden="false" customHeight="false" outlineLevel="0" collapsed="false">
      <c r="A18" s="4" t="s">
        <v>86</v>
      </c>
      <c r="B18" s="5" t="s">
        <v>87</v>
      </c>
      <c r="C18" s="5" t="s">
        <v>88</v>
      </c>
      <c r="D18" s="5" t="s">
        <v>51</v>
      </c>
      <c r="E18" s="5" t="s">
        <v>36</v>
      </c>
      <c r="F18" s="5" t="s">
        <v>37</v>
      </c>
      <c r="G18" s="5" t="s">
        <v>38</v>
      </c>
      <c r="H18" s="5" t="s">
        <v>17</v>
      </c>
    </row>
    <row r="19" customFormat="false" ht="15" hidden="false" customHeight="false" outlineLevel="0" collapsed="false">
      <c r="A19" s="4" t="s">
        <v>89</v>
      </c>
      <c r="B19" s="5" t="s">
        <v>90</v>
      </c>
      <c r="C19" s="5" t="s">
        <v>91</v>
      </c>
      <c r="D19" s="5" t="s">
        <v>58</v>
      </c>
      <c r="E19" s="5" t="s">
        <v>44</v>
      </c>
      <c r="F19" s="5" t="s">
        <v>45</v>
      </c>
      <c r="G19" s="5" t="s">
        <v>46</v>
      </c>
      <c r="H19" s="5" t="s">
        <v>17</v>
      </c>
    </row>
    <row r="20" customFormat="false" ht="15" hidden="false" customHeight="false" outlineLevel="0" collapsed="false">
      <c r="A20" s="4" t="s">
        <v>92</v>
      </c>
      <c r="B20" s="5" t="s">
        <v>93</v>
      </c>
      <c r="C20" s="5" t="s">
        <v>94</v>
      </c>
      <c r="D20" s="5" t="s">
        <v>64</v>
      </c>
      <c r="E20" s="5" t="s">
        <v>52</v>
      </c>
      <c r="F20" s="5" t="s">
        <v>15</v>
      </c>
      <c r="G20" s="5" t="s">
        <v>53</v>
      </c>
      <c r="H20" s="5" t="s">
        <v>39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5" t="s">
        <v>97</v>
      </c>
      <c r="D21" s="5" t="s">
        <v>13</v>
      </c>
      <c r="E21" s="5" t="s">
        <v>59</v>
      </c>
      <c r="F21" s="5" t="s">
        <v>23</v>
      </c>
      <c r="G21" s="5" t="s">
        <v>60</v>
      </c>
      <c r="H21" s="5" t="s">
        <v>47</v>
      </c>
    </row>
    <row r="22" customFormat="false" ht="1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21</v>
      </c>
      <c r="E22" s="5" t="s">
        <v>65</v>
      </c>
      <c r="F22" s="5" t="s">
        <v>30</v>
      </c>
      <c r="G22" s="5" t="s">
        <v>66</v>
      </c>
      <c r="H22" s="5" t="s">
        <v>54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28</v>
      </c>
      <c r="E23" s="5" t="s">
        <v>70</v>
      </c>
      <c r="F23" s="5" t="s">
        <v>37</v>
      </c>
      <c r="G23" s="5" t="s">
        <v>71</v>
      </c>
      <c r="H23" s="5" t="s">
        <v>17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5" t="s">
        <v>106</v>
      </c>
      <c r="D24" s="5" t="s">
        <v>35</v>
      </c>
      <c r="E24" s="5" t="s">
        <v>75</v>
      </c>
      <c r="F24" s="5" t="s">
        <v>45</v>
      </c>
      <c r="G24" s="5" t="s">
        <v>76</v>
      </c>
      <c r="H24" s="5" t="s">
        <v>17</v>
      </c>
    </row>
    <row r="25" customFormat="false" ht="15" hidden="false" customHeight="false" outlineLevel="0" collapsed="false">
      <c r="A25" s="4" t="s">
        <v>107</v>
      </c>
      <c r="B25" s="5" t="s">
        <v>108</v>
      </c>
      <c r="C25" s="5" t="s">
        <v>12</v>
      </c>
      <c r="D25" s="5" t="s">
        <v>43</v>
      </c>
      <c r="E25" s="5" t="s">
        <v>14</v>
      </c>
      <c r="F25" s="5" t="s">
        <v>15</v>
      </c>
      <c r="G25" s="5" t="s">
        <v>16</v>
      </c>
      <c r="H25" s="5" t="s">
        <v>17</v>
      </c>
    </row>
    <row r="26" customFormat="false" ht="15" hidden="false" customHeight="false" outlineLevel="0" collapsed="false">
      <c r="A26" s="4" t="s">
        <v>109</v>
      </c>
      <c r="B26" s="5" t="s">
        <v>110</v>
      </c>
      <c r="C26" s="5" t="s">
        <v>20</v>
      </c>
      <c r="D26" s="5" t="s">
        <v>51</v>
      </c>
      <c r="E26" s="5" t="s">
        <v>22</v>
      </c>
      <c r="F26" s="5" t="s">
        <v>23</v>
      </c>
      <c r="G26" s="5" t="s">
        <v>24</v>
      </c>
      <c r="H26" s="5" t="s">
        <v>39</v>
      </c>
    </row>
    <row r="27" customFormat="false" ht="15" hidden="false" customHeight="false" outlineLevel="0" collapsed="false">
      <c r="A27" s="4" t="s">
        <v>111</v>
      </c>
      <c r="B27" s="5" t="s">
        <v>112</v>
      </c>
      <c r="C27" s="5" t="s">
        <v>27</v>
      </c>
      <c r="D27" s="5" t="s">
        <v>58</v>
      </c>
      <c r="E27" s="5" t="s">
        <v>29</v>
      </c>
      <c r="F27" s="5" t="s">
        <v>30</v>
      </c>
      <c r="G27" s="5" t="s">
        <v>31</v>
      </c>
      <c r="H27" s="5" t="s">
        <v>47</v>
      </c>
    </row>
    <row r="28" customFormat="false" ht="15" hidden="false" customHeight="false" outlineLevel="0" collapsed="false">
      <c r="A28" s="4" t="s">
        <v>113</v>
      </c>
      <c r="B28" s="5" t="s">
        <v>114</v>
      </c>
      <c r="C28" s="5" t="s">
        <v>34</v>
      </c>
      <c r="D28" s="5" t="s">
        <v>64</v>
      </c>
      <c r="E28" s="5" t="s">
        <v>36</v>
      </c>
      <c r="F28" s="5" t="s">
        <v>37</v>
      </c>
      <c r="G28" s="5" t="s">
        <v>38</v>
      </c>
      <c r="H28" s="5" t="s">
        <v>54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5" t="s">
        <v>42</v>
      </c>
      <c r="D29" s="5" t="s">
        <v>13</v>
      </c>
      <c r="E29" s="5" t="s">
        <v>44</v>
      </c>
      <c r="F29" s="5" t="s">
        <v>45</v>
      </c>
      <c r="G29" s="5" t="s">
        <v>46</v>
      </c>
      <c r="H29" s="5" t="s">
        <v>17</v>
      </c>
    </row>
    <row r="30" customFormat="false" ht="15" hidden="false" customHeight="false" outlineLevel="0" collapsed="false">
      <c r="A30" s="4" t="s">
        <v>117</v>
      </c>
      <c r="B30" s="5" t="s">
        <v>118</v>
      </c>
      <c r="C30" s="5" t="s">
        <v>50</v>
      </c>
      <c r="D30" s="5" t="s">
        <v>21</v>
      </c>
      <c r="E30" s="5" t="s">
        <v>52</v>
      </c>
      <c r="F30" s="5" t="s">
        <v>15</v>
      </c>
      <c r="G30" s="5" t="s">
        <v>53</v>
      </c>
      <c r="H30" s="5" t="s">
        <v>17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5" t="s">
        <v>57</v>
      </c>
      <c r="D31" s="5" t="s">
        <v>28</v>
      </c>
      <c r="E31" s="5" t="s">
        <v>59</v>
      </c>
      <c r="F31" s="5" t="s">
        <v>23</v>
      </c>
      <c r="G31" s="5" t="s">
        <v>60</v>
      </c>
      <c r="H31" s="5" t="s">
        <v>17</v>
      </c>
    </row>
    <row r="32" customFormat="false" ht="15" hidden="false" customHeight="false" outlineLevel="0" collapsed="false">
      <c r="A32" s="4" t="s">
        <v>121</v>
      </c>
      <c r="B32" s="5" t="s">
        <v>122</v>
      </c>
      <c r="C32" s="5" t="s">
        <v>63</v>
      </c>
      <c r="D32" s="5" t="s">
        <v>35</v>
      </c>
      <c r="E32" s="5" t="s">
        <v>65</v>
      </c>
      <c r="F32" s="5" t="s">
        <v>30</v>
      </c>
      <c r="G32" s="5" t="s">
        <v>66</v>
      </c>
      <c r="H32" s="5" t="s">
        <v>39</v>
      </c>
    </row>
    <row r="33" customFormat="false" ht="15" hidden="false" customHeight="false" outlineLevel="0" collapsed="false">
      <c r="A33" s="4" t="s">
        <v>123</v>
      </c>
      <c r="B33" s="5" t="s">
        <v>124</v>
      </c>
      <c r="C33" s="5" t="s">
        <v>69</v>
      </c>
      <c r="D33" s="5" t="s">
        <v>43</v>
      </c>
      <c r="E33" s="5" t="s">
        <v>70</v>
      </c>
      <c r="F33" s="5" t="s">
        <v>37</v>
      </c>
      <c r="G33" s="5" t="s">
        <v>71</v>
      </c>
      <c r="H33" s="5" t="s">
        <v>47</v>
      </c>
    </row>
    <row r="34" customFormat="false" ht="15" hidden="false" customHeight="false" outlineLevel="0" collapsed="false">
      <c r="A34" s="4" t="s">
        <v>125</v>
      </c>
      <c r="B34" s="5" t="s">
        <v>126</v>
      </c>
      <c r="C34" s="5" t="s">
        <v>74</v>
      </c>
      <c r="D34" s="5" t="s">
        <v>51</v>
      </c>
      <c r="E34" s="5" t="s">
        <v>75</v>
      </c>
      <c r="F34" s="5" t="s">
        <v>45</v>
      </c>
      <c r="G34" s="5" t="s">
        <v>76</v>
      </c>
      <c r="H34" s="5" t="s">
        <v>54</v>
      </c>
    </row>
    <row r="35" customFormat="false" ht="15" hidden="false" customHeight="false" outlineLevel="0" collapsed="false">
      <c r="A35" s="4" t="s">
        <v>127</v>
      </c>
      <c r="B35" s="5" t="s">
        <v>128</v>
      </c>
      <c r="C35" s="5" t="s">
        <v>79</v>
      </c>
      <c r="D35" s="5" t="s">
        <v>58</v>
      </c>
      <c r="E35" s="5" t="s">
        <v>14</v>
      </c>
      <c r="F35" s="5" t="s">
        <v>15</v>
      </c>
      <c r="G35" s="5" t="s">
        <v>16</v>
      </c>
      <c r="H35" s="5" t="s">
        <v>17</v>
      </c>
    </row>
    <row r="36" customFormat="false" ht="15" hidden="false" customHeight="false" outlineLevel="0" collapsed="false">
      <c r="A36" s="4" t="s">
        <v>129</v>
      </c>
      <c r="B36" s="5" t="s">
        <v>130</v>
      </c>
      <c r="C36" s="5" t="s">
        <v>82</v>
      </c>
      <c r="D36" s="5" t="s">
        <v>64</v>
      </c>
      <c r="E36" s="5" t="s">
        <v>22</v>
      </c>
      <c r="F36" s="5" t="s">
        <v>23</v>
      </c>
      <c r="G36" s="5" t="s">
        <v>24</v>
      </c>
      <c r="H36" s="5" t="s">
        <v>17</v>
      </c>
    </row>
    <row r="37" customFormat="false" ht="15" hidden="false" customHeight="false" outlineLevel="0" collapsed="false">
      <c r="A37" s="4" t="s">
        <v>131</v>
      </c>
      <c r="B37" s="5" t="s">
        <v>132</v>
      </c>
      <c r="C37" s="5" t="s">
        <v>85</v>
      </c>
      <c r="D37" s="5" t="s">
        <v>13</v>
      </c>
      <c r="E37" s="5" t="s">
        <v>29</v>
      </c>
      <c r="F37" s="5" t="s">
        <v>30</v>
      </c>
      <c r="G37" s="5" t="s">
        <v>31</v>
      </c>
      <c r="H37" s="5" t="s">
        <v>17</v>
      </c>
    </row>
    <row r="38" customFormat="false" ht="15" hidden="false" customHeight="false" outlineLevel="0" collapsed="false">
      <c r="A38" s="4" t="s">
        <v>133</v>
      </c>
      <c r="B38" s="5" t="s">
        <v>134</v>
      </c>
      <c r="C38" s="5" t="s">
        <v>88</v>
      </c>
      <c r="D38" s="5" t="s">
        <v>21</v>
      </c>
      <c r="E38" s="5" t="s">
        <v>36</v>
      </c>
      <c r="F38" s="5" t="s">
        <v>37</v>
      </c>
      <c r="G38" s="5" t="s">
        <v>38</v>
      </c>
      <c r="H38" s="5" t="s">
        <v>39</v>
      </c>
    </row>
    <row r="39" customFormat="false" ht="15" hidden="false" customHeight="false" outlineLevel="0" collapsed="false">
      <c r="A39" s="4" t="s">
        <v>135</v>
      </c>
      <c r="B39" s="5" t="s">
        <v>136</v>
      </c>
      <c r="C39" s="5" t="s">
        <v>91</v>
      </c>
      <c r="D39" s="5" t="s">
        <v>28</v>
      </c>
      <c r="E39" s="5" t="s">
        <v>44</v>
      </c>
      <c r="F39" s="5" t="s">
        <v>45</v>
      </c>
      <c r="G39" s="5" t="s">
        <v>46</v>
      </c>
      <c r="H39" s="5" t="s">
        <v>47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94</v>
      </c>
      <c r="D40" s="5" t="s">
        <v>35</v>
      </c>
      <c r="E40" s="5" t="s">
        <v>52</v>
      </c>
      <c r="F40" s="5" t="s">
        <v>15</v>
      </c>
      <c r="G40" s="5" t="s">
        <v>53</v>
      </c>
      <c r="H40" s="5" t="s">
        <v>54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97</v>
      </c>
      <c r="D41" s="5" t="s">
        <v>43</v>
      </c>
      <c r="E41" s="5" t="s">
        <v>59</v>
      </c>
      <c r="F41" s="5" t="s">
        <v>23</v>
      </c>
      <c r="G41" s="5" t="s">
        <v>60</v>
      </c>
      <c r="H41" s="5" t="s">
        <v>17</v>
      </c>
    </row>
    <row r="42" customFormat="false" ht="15" hidden="false" customHeight="false" outlineLevel="0" collapsed="false">
      <c r="A42" s="4" t="s">
        <v>141</v>
      </c>
      <c r="B42" s="5" t="s">
        <v>142</v>
      </c>
      <c r="C42" s="5" t="s">
        <v>100</v>
      </c>
      <c r="D42" s="5" t="s">
        <v>51</v>
      </c>
      <c r="E42" s="5" t="s">
        <v>65</v>
      </c>
      <c r="F42" s="5" t="s">
        <v>30</v>
      </c>
      <c r="G42" s="5" t="s">
        <v>66</v>
      </c>
      <c r="H42" s="5" t="s">
        <v>17</v>
      </c>
    </row>
    <row r="43" customFormat="false" ht="15" hidden="false" customHeight="false" outlineLevel="0" collapsed="false">
      <c r="A43" s="4" t="s">
        <v>143</v>
      </c>
      <c r="B43" s="5" t="s">
        <v>144</v>
      </c>
      <c r="C43" s="5" t="s">
        <v>103</v>
      </c>
      <c r="D43" s="5" t="s">
        <v>58</v>
      </c>
      <c r="E43" s="5" t="s">
        <v>70</v>
      </c>
      <c r="F43" s="5" t="s">
        <v>37</v>
      </c>
      <c r="G43" s="5" t="s">
        <v>71</v>
      </c>
      <c r="H43" s="5" t="s">
        <v>17</v>
      </c>
    </row>
    <row r="44" customFormat="false" ht="15" hidden="false" customHeight="false" outlineLevel="0" collapsed="false">
      <c r="A44" s="4" t="s">
        <v>145</v>
      </c>
      <c r="B44" s="5" t="s">
        <v>146</v>
      </c>
      <c r="C44" s="5" t="s">
        <v>106</v>
      </c>
      <c r="D44" s="5" t="s">
        <v>64</v>
      </c>
      <c r="E44" s="5" t="s">
        <v>75</v>
      </c>
      <c r="F44" s="5" t="s">
        <v>45</v>
      </c>
      <c r="G44" s="5" t="s">
        <v>76</v>
      </c>
      <c r="H44" s="5" t="s">
        <v>39</v>
      </c>
    </row>
    <row r="45" customFormat="false" ht="15" hidden="false" customHeight="false" outlineLevel="0" collapsed="false">
      <c r="A45" s="4" t="s">
        <v>147</v>
      </c>
      <c r="B45" s="5" t="s">
        <v>148</v>
      </c>
      <c r="C45" s="5" t="s">
        <v>12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47</v>
      </c>
    </row>
    <row r="46" customFormat="false" ht="15" hidden="false" customHeight="false" outlineLevel="0" collapsed="false">
      <c r="A46" s="4" t="s">
        <v>149</v>
      </c>
      <c r="B46" s="5" t="s">
        <v>150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54</v>
      </c>
    </row>
    <row r="47" customFormat="false" ht="15" hidden="false" customHeight="false" outlineLevel="0" collapsed="false">
      <c r="A47" s="4" t="s">
        <v>151</v>
      </c>
      <c r="B47" s="5" t="s">
        <v>152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</v>
      </c>
    </row>
    <row r="48" customFormat="false" ht="15" hidden="false" customHeight="false" outlineLevel="0" collapsed="false">
      <c r="A48" s="4" t="s">
        <v>153</v>
      </c>
      <c r="B48" s="5" t="s">
        <v>154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38</v>
      </c>
      <c r="H48" s="5" t="s">
        <v>17</v>
      </c>
    </row>
    <row r="49" customFormat="false" ht="15" hidden="false" customHeight="false" outlineLevel="0" collapsed="false">
      <c r="A49" s="4" t="s">
        <v>155</v>
      </c>
      <c r="B49" s="5" t="s">
        <v>156</v>
      </c>
      <c r="C49" s="5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17</v>
      </c>
    </row>
    <row r="50" customFormat="false" ht="15" hidden="false" customHeight="false" outlineLevel="0" collapsed="false">
      <c r="A50" s="4" t="s">
        <v>157</v>
      </c>
      <c r="B50" s="5" t="s">
        <v>158</v>
      </c>
      <c r="C50" s="5" t="s">
        <v>50</v>
      </c>
      <c r="D50" s="5" t="s">
        <v>51</v>
      </c>
      <c r="E50" s="5" t="s">
        <v>52</v>
      </c>
      <c r="F50" s="5" t="s">
        <v>15</v>
      </c>
      <c r="G50" s="5" t="s">
        <v>53</v>
      </c>
      <c r="H50" s="5" t="s">
        <v>39</v>
      </c>
    </row>
    <row r="51" customFormat="false" ht="15" hidden="false" customHeight="false" outlineLevel="0" collapsed="false">
      <c r="A51" s="4" t="s">
        <v>159</v>
      </c>
      <c r="B51" s="5" t="s">
        <v>160</v>
      </c>
      <c r="C51" s="5" t="s">
        <v>57</v>
      </c>
      <c r="D51" s="5" t="s">
        <v>58</v>
      </c>
      <c r="E51" s="5" t="s">
        <v>59</v>
      </c>
      <c r="F51" s="5" t="s">
        <v>23</v>
      </c>
      <c r="G51" s="5" t="s">
        <v>60</v>
      </c>
      <c r="H51" s="5" t="s">
        <v>47</v>
      </c>
    </row>
    <row r="52" customFormat="false" ht="15" hidden="false" customHeight="false" outlineLevel="0" collapsed="false">
      <c r="A52" s="4" t="s">
        <v>161</v>
      </c>
      <c r="B52" s="5" t="s">
        <v>162</v>
      </c>
      <c r="C52" s="5" t="s">
        <v>63</v>
      </c>
      <c r="D52" s="5" t="s">
        <v>64</v>
      </c>
      <c r="E52" s="5" t="s">
        <v>65</v>
      </c>
      <c r="F52" s="5" t="s">
        <v>30</v>
      </c>
      <c r="G52" s="5" t="s">
        <v>66</v>
      </c>
      <c r="H52" s="5" t="s">
        <v>54</v>
      </c>
    </row>
    <row r="53" customFormat="false" ht="15" hidden="false" customHeight="false" outlineLevel="0" collapsed="false">
      <c r="A53" s="4" t="s">
        <v>163</v>
      </c>
      <c r="B53" s="5" t="s">
        <v>164</v>
      </c>
      <c r="C53" s="5" t="s">
        <v>69</v>
      </c>
      <c r="D53" s="5" t="s">
        <v>13</v>
      </c>
      <c r="E53" s="5" t="s">
        <v>70</v>
      </c>
      <c r="F53" s="5" t="s">
        <v>37</v>
      </c>
      <c r="G53" s="5" t="s">
        <v>71</v>
      </c>
      <c r="H53" s="5" t="s">
        <v>17</v>
      </c>
    </row>
    <row r="54" customFormat="false" ht="15" hidden="false" customHeight="false" outlineLevel="0" collapsed="false">
      <c r="A54" s="4" t="s">
        <v>165</v>
      </c>
      <c r="B54" s="5" t="s">
        <v>166</v>
      </c>
      <c r="C54" s="5" t="s">
        <v>74</v>
      </c>
      <c r="D54" s="5" t="s">
        <v>21</v>
      </c>
      <c r="E54" s="5" t="s">
        <v>75</v>
      </c>
      <c r="F54" s="5" t="s">
        <v>45</v>
      </c>
      <c r="G54" s="5" t="s">
        <v>76</v>
      </c>
      <c r="H54" s="5" t="s">
        <v>17</v>
      </c>
    </row>
    <row r="55" customFormat="false" ht="15" hidden="false" customHeight="false" outlineLevel="0" collapsed="false">
      <c r="A55" s="4" t="s">
        <v>167</v>
      </c>
      <c r="B55" s="5" t="s">
        <v>168</v>
      </c>
      <c r="C55" s="5" t="s">
        <v>79</v>
      </c>
      <c r="D55" s="5" t="s">
        <v>28</v>
      </c>
      <c r="E55" s="5" t="s">
        <v>14</v>
      </c>
      <c r="F55" s="5" t="s">
        <v>15</v>
      </c>
      <c r="G55" s="5" t="s">
        <v>16</v>
      </c>
      <c r="H55" s="5" t="s">
        <v>17</v>
      </c>
    </row>
    <row r="56" customFormat="false" ht="15" hidden="false" customHeight="false" outlineLevel="0" collapsed="false">
      <c r="A56" s="4" t="s">
        <v>169</v>
      </c>
      <c r="B56" s="5" t="s">
        <v>170</v>
      </c>
      <c r="C56" s="5" t="s">
        <v>82</v>
      </c>
      <c r="D56" s="5" t="s">
        <v>35</v>
      </c>
      <c r="E56" s="5" t="s">
        <v>22</v>
      </c>
      <c r="F56" s="5" t="s">
        <v>23</v>
      </c>
      <c r="G56" s="5" t="s">
        <v>24</v>
      </c>
      <c r="H56" s="5" t="s">
        <v>39</v>
      </c>
    </row>
    <row r="57" customFormat="false" ht="15" hidden="false" customHeight="false" outlineLevel="0" collapsed="false">
      <c r="A57" s="4" t="s">
        <v>171</v>
      </c>
      <c r="B57" s="5" t="s">
        <v>172</v>
      </c>
      <c r="C57" s="5" t="s">
        <v>85</v>
      </c>
      <c r="D57" s="5" t="s">
        <v>43</v>
      </c>
      <c r="E57" s="5" t="s">
        <v>29</v>
      </c>
      <c r="F57" s="5" t="s">
        <v>30</v>
      </c>
      <c r="G57" s="5" t="s">
        <v>31</v>
      </c>
      <c r="H57" s="5" t="s">
        <v>47</v>
      </c>
    </row>
    <row r="58" customFormat="false" ht="15" hidden="false" customHeight="false" outlineLevel="0" collapsed="false">
      <c r="A58" s="4" t="s">
        <v>173</v>
      </c>
      <c r="B58" s="5" t="s">
        <v>174</v>
      </c>
      <c r="C58" s="5" t="s">
        <v>88</v>
      </c>
      <c r="D58" s="5" t="s">
        <v>51</v>
      </c>
      <c r="E58" s="5" t="s">
        <v>36</v>
      </c>
      <c r="F58" s="5" t="s">
        <v>37</v>
      </c>
      <c r="G58" s="5" t="s">
        <v>38</v>
      </c>
      <c r="H58" s="5" t="s">
        <v>54</v>
      </c>
    </row>
    <row r="59" customFormat="false" ht="15" hidden="false" customHeight="false" outlineLevel="0" collapsed="false">
      <c r="A59" s="4" t="s">
        <v>175</v>
      </c>
      <c r="B59" s="5" t="s">
        <v>176</v>
      </c>
      <c r="C59" s="5" t="s">
        <v>91</v>
      </c>
      <c r="D59" s="5" t="s">
        <v>58</v>
      </c>
      <c r="E59" s="5" t="s">
        <v>44</v>
      </c>
      <c r="F59" s="5" t="s">
        <v>45</v>
      </c>
      <c r="G59" s="5" t="s">
        <v>46</v>
      </c>
      <c r="H59" s="5" t="s">
        <v>17</v>
      </c>
    </row>
    <row r="60" customFormat="false" ht="15" hidden="false" customHeight="false" outlineLevel="0" collapsed="false">
      <c r="A60" s="4" t="s">
        <v>177</v>
      </c>
      <c r="B60" s="5" t="s">
        <v>178</v>
      </c>
      <c r="C60" s="5" t="s">
        <v>94</v>
      </c>
      <c r="D60" s="5" t="s">
        <v>64</v>
      </c>
      <c r="E60" s="5" t="s">
        <v>52</v>
      </c>
      <c r="F60" s="5" t="s">
        <v>15</v>
      </c>
      <c r="G60" s="5" t="s">
        <v>53</v>
      </c>
      <c r="H60" s="5" t="s">
        <v>17</v>
      </c>
    </row>
    <row r="61" customFormat="false" ht="15" hidden="false" customHeight="false" outlineLevel="0" collapsed="false">
      <c r="A61" s="4" t="s">
        <v>179</v>
      </c>
      <c r="B61" s="5" t="s">
        <v>180</v>
      </c>
      <c r="C61" s="5" t="s">
        <v>97</v>
      </c>
      <c r="D61" s="5" t="s">
        <v>13</v>
      </c>
      <c r="E61" s="5" t="s">
        <v>59</v>
      </c>
      <c r="F61" s="5" t="s">
        <v>23</v>
      </c>
      <c r="G61" s="5" t="s">
        <v>60</v>
      </c>
      <c r="H61" s="5" t="s">
        <v>17</v>
      </c>
    </row>
    <row r="62" customFormat="false" ht="15" hidden="false" customHeight="false" outlineLevel="0" collapsed="false">
      <c r="A62" s="4" t="s">
        <v>181</v>
      </c>
      <c r="B62" s="5" t="s">
        <v>182</v>
      </c>
      <c r="C62" s="5" t="s">
        <v>100</v>
      </c>
      <c r="D62" s="5" t="s">
        <v>21</v>
      </c>
      <c r="E62" s="5" t="s">
        <v>65</v>
      </c>
      <c r="F62" s="5" t="s">
        <v>30</v>
      </c>
      <c r="G62" s="5" t="s">
        <v>66</v>
      </c>
      <c r="H62" s="5" t="s">
        <v>39</v>
      </c>
    </row>
    <row r="63" customFormat="false" ht="15" hidden="false" customHeight="false" outlineLevel="0" collapsed="false">
      <c r="A63" s="4" t="s">
        <v>183</v>
      </c>
      <c r="B63" s="5" t="s">
        <v>184</v>
      </c>
      <c r="C63" s="5" t="s">
        <v>103</v>
      </c>
      <c r="D63" s="5" t="s">
        <v>28</v>
      </c>
      <c r="E63" s="5" t="s">
        <v>70</v>
      </c>
      <c r="F63" s="5" t="s">
        <v>37</v>
      </c>
      <c r="G63" s="5" t="s">
        <v>71</v>
      </c>
      <c r="H63" s="5" t="s">
        <v>47</v>
      </c>
    </row>
    <row r="64" customFormat="false" ht="15" hidden="false" customHeight="false" outlineLevel="0" collapsed="false">
      <c r="A64" s="4" t="s">
        <v>185</v>
      </c>
      <c r="B64" s="5" t="s">
        <v>186</v>
      </c>
      <c r="C64" s="5" t="s">
        <v>106</v>
      </c>
      <c r="D64" s="5" t="s">
        <v>35</v>
      </c>
      <c r="E64" s="5" t="s">
        <v>75</v>
      </c>
      <c r="F64" s="5" t="s">
        <v>45</v>
      </c>
      <c r="G64" s="5" t="s">
        <v>76</v>
      </c>
      <c r="H64" s="5" t="s">
        <v>54</v>
      </c>
    </row>
    <row r="65" customFormat="false" ht="15" hidden="false" customHeight="false" outlineLevel="0" collapsed="false">
      <c r="A65" s="4" t="s">
        <v>187</v>
      </c>
      <c r="B65" s="5" t="s">
        <v>188</v>
      </c>
      <c r="C65" s="5" t="s">
        <v>12</v>
      </c>
      <c r="D65" s="5" t="s">
        <v>43</v>
      </c>
      <c r="E65" s="5" t="s">
        <v>14</v>
      </c>
      <c r="F65" s="5" t="s">
        <v>15</v>
      </c>
      <c r="G65" s="5" t="s">
        <v>16</v>
      </c>
      <c r="H65" s="5" t="s">
        <v>17</v>
      </c>
    </row>
    <row r="66" customFormat="false" ht="15" hidden="false" customHeight="false" outlineLevel="0" collapsed="false">
      <c r="A66" s="4" t="s">
        <v>189</v>
      </c>
      <c r="B66" s="5" t="s">
        <v>190</v>
      </c>
      <c r="C66" s="5" t="s">
        <v>20</v>
      </c>
      <c r="D66" s="5" t="s">
        <v>51</v>
      </c>
      <c r="E66" s="5" t="s">
        <v>22</v>
      </c>
      <c r="F66" s="5" t="s">
        <v>23</v>
      </c>
      <c r="G66" s="5" t="s">
        <v>24</v>
      </c>
      <c r="H66" s="5" t="s">
        <v>17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5" t="s">
        <v>27</v>
      </c>
      <c r="D67" s="5" t="s">
        <v>58</v>
      </c>
      <c r="E67" s="5" t="s">
        <v>29</v>
      </c>
      <c r="F67" s="5" t="s">
        <v>30</v>
      </c>
      <c r="G67" s="5" t="s">
        <v>31</v>
      </c>
      <c r="H67" s="5" t="s">
        <v>17</v>
      </c>
    </row>
    <row r="68" customFormat="false" ht="15" hidden="false" customHeight="false" outlineLevel="0" collapsed="false">
      <c r="A68" s="4" t="s">
        <v>193</v>
      </c>
      <c r="B68" s="5" t="s">
        <v>194</v>
      </c>
      <c r="C68" s="5" t="s">
        <v>34</v>
      </c>
      <c r="D68" s="5" t="s">
        <v>64</v>
      </c>
      <c r="E68" s="5" t="s">
        <v>36</v>
      </c>
      <c r="F68" s="5" t="s">
        <v>37</v>
      </c>
      <c r="G68" s="5" t="s">
        <v>38</v>
      </c>
      <c r="H68" s="5" t="s">
        <v>39</v>
      </c>
    </row>
    <row r="69" customFormat="false" ht="15" hidden="false" customHeight="false" outlineLevel="0" collapsed="false">
      <c r="A69" s="4" t="s">
        <v>195</v>
      </c>
      <c r="B69" s="5" t="s">
        <v>196</v>
      </c>
      <c r="C69" s="5" t="s">
        <v>42</v>
      </c>
      <c r="D69" s="5" t="s">
        <v>13</v>
      </c>
      <c r="E69" s="5" t="s">
        <v>44</v>
      </c>
      <c r="F69" s="5" t="s">
        <v>45</v>
      </c>
      <c r="G69" s="5" t="s">
        <v>46</v>
      </c>
      <c r="H69" s="5" t="s">
        <v>47</v>
      </c>
    </row>
    <row r="70" customFormat="false" ht="15" hidden="false" customHeight="false" outlineLevel="0" collapsed="false">
      <c r="A70" s="4" t="s">
        <v>197</v>
      </c>
      <c r="B70" s="5" t="s">
        <v>198</v>
      </c>
      <c r="C70" s="5" t="s">
        <v>50</v>
      </c>
      <c r="D70" s="5" t="s">
        <v>21</v>
      </c>
      <c r="E70" s="5" t="s">
        <v>52</v>
      </c>
      <c r="F70" s="5" t="s">
        <v>15</v>
      </c>
      <c r="G70" s="5" t="s">
        <v>53</v>
      </c>
      <c r="H70" s="5" t="s">
        <v>54</v>
      </c>
    </row>
    <row r="71" customFormat="false" ht="15" hidden="false" customHeight="false" outlineLevel="0" collapsed="false">
      <c r="A71" s="4" t="s">
        <v>199</v>
      </c>
      <c r="B71" s="5" t="s">
        <v>200</v>
      </c>
      <c r="C71" s="5" t="s">
        <v>57</v>
      </c>
      <c r="D71" s="5" t="s">
        <v>28</v>
      </c>
      <c r="E71" s="5" t="s">
        <v>59</v>
      </c>
      <c r="F71" s="5" t="s">
        <v>23</v>
      </c>
      <c r="G71" s="5" t="s">
        <v>60</v>
      </c>
      <c r="H71" s="5" t="s">
        <v>17</v>
      </c>
    </row>
    <row r="72" customFormat="false" ht="15" hidden="false" customHeight="false" outlineLevel="0" collapsed="false">
      <c r="A72" s="4" t="s">
        <v>201</v>
      </c>
      <c r="B72" s="5" t="s">
        <v>202</v>
      </c>
      <c r="C72" s="5" t="s">
        <v>63</v>
      </c>
      <c r="D72" s="5" t="s">
        <v>35</v>
      </c>
      <c r="E72" s="5" t="s">
        <v>65</v>
      </c>
      <c r="F72" s="5" t="s">
        <v>30</v>
      </c>
      <c r="G72" s="5" t="s">
        <v>66</v>
      </c>
      <c r="H72" s="5" t="s">
        <v>17</v>
      </c>
    </row>
    <row r="73" customFormat="false" ht="15" hidden="false" customHeight="false" outlineLevel="0" collapsed="false">
      <c r="A73" s="4" t="s">
        <v>203</v>
      </c>
      <c r="B73" s="5" t="s">
        <v>204</v>
      </c>
      <c r="C73" s="5" t="s">
        <v>69</v>
      </c>
      <c r="D73" s="5" t="s">
        <v>43</v>
      </c>
      <c r="E73" s="5" t="s">
        <v>70</v>
      </c>
      <c r="F73" s="5" t="s">
        <v>37</v>
      </c>
      <c r="G73" s="5" t="s">
        <v>71</v>
      </c>
      <c r="H73" s="5" t="s">
        <v>17</v>
      </c>
    </row>
    <row r="74" customFormat="false" ht="15" hidden="false" customHeight="false" outlineLevel="0" collapsed="false">
      <c r="A74" s="4" t="s">
        <v>205</v>
      </c>
      <c r="B74" s="5" t="s">
        <v>206</v>
      </c>
      <c r="C74" s="5" t="s">
        <v>74</v>
      </c>
      <c r="D74" s="5" t="s">
        <v>51</v>
      </c>
      <c r="E74" s="5" t="s">
        <v>75</v>
      </c>
      <c r="F74" s="5" t="s">
        <v>45</v>
      </c>
      <c r="G74" s="5" t="s">
        <v>76</v>
      </c>
      <c r="H74" s="5" t="s">
        <v>39</v>
      </c>
    </row>
    <row r="75" customFormat="false" ht="15" hidden="false" customHeight="false" outlineLevel="0" collapsed="false">
      <c r="A75" s="4" t="s">
        <v>207</v>
      </c>
      <c r="B75" s="5" t="s">
        <v>208</v>
      </c>
      <c r="C75" s="5" t="s">
        <v>79</v>
      </c>
      <c r="D75" s="5" t="s">
        <v>58</v>
      </c>
      <c r="E75" s="5" t="s">
        <v>14</v>
      </c>
      <c r="F75" s="5" t="s">
        <v>15</v>
      </c>
      <c r="G75" s="5" t="s">
        <v>16</v>
      </c>
      <c r="H75" s="5" t="s">
        <v>47</v>
      </c>
    </row>
    <row r="76" customFormat="false" ht="15" hidden="false" customHeight="false" outlineLevel="0" collapsed="false">
      <c r="A76" s="4" t="s">
        <v>209</v>
      </c>
      <c r="B76" s="5" t="s">
        <v>210</v>
      </c>
      <c r="C76" s="5" t="s">
        <v>82</v>
      </c>
      <c r="D76" s="5" t="s">
        <v>64</v>
      </c>
      <c r="E76" s="5" t="s">
        <v>22</v>
      </c>
      <c r="F76" s="5" t="s">
        <v>23</v>
      </c>
      <c r="G76" s="5" t="s">
        <v>24</v>
      </c>
      <c r="H76" s="5" t="s">
        <v>54</v>
      </c>
    </row>
    <row r="77" customFormat="false" ht="15" hidden="false" customHeight="false" outlineLevel="0" collapsed="false">
      <c r="A77" s="4" t="s">
        <v>211</v>
      </c>
      <c r="B77" s="5" t="s">
        <v>212</v>
      </c>
      <c r="C77" s="5" t="s">
        <v>85</v>
      </c>
      <c r="D77" s="5" t="s">
        <v>13</v>
      </c>
      <c r="E77" s="5" t="s">
        <v>29</v>
      </c>
      <c r="F77" s="5" t="s">
        <v>30</v>
      </c>
      <c r="G77" s="5" t="s">
        <v>31</v>
      </c>
      <c r="H77" s="5" t="s">
        <v>17</v>
      </c>
    </row>
    <row r="78" customFormat="false" ht="15" hidden="false" customHeight="false" outlineLevel="0" collapsed="false">
      <c r="A78" s="4" t="s">
        <v>213</v>
      </c>
      <c r="B78" s="5" t="s">
        <v>214</v>
      </c>
      <c r="C78" s="5" t="s">
        <v>88</v>
      </c>
      <c r="D78" s="5" t="s">
        <v>21</v>
      </c>
      <c r="E78" s="5" t="s">
        <v>36</v>
      </c>
      <c r="F78" s="5" t="s">
        <v>37</v>
      </c>
      <c r="G78" s="5" t="s">
        <v>38</v>
      </c>
      <c r="H78" s="5" t="s">
        <v>17</v>
      </c>
    </row>
    <row r="79" customFormat="false" ht="15" hidden="false" customHeight="false" outlineLevel="0" collapsed="false">
      <c r="A79" s="4" t="s">
        <v>215</v>
      </c>
      <c r="B79" s="5" t="s">
        <v>216</v>
      </c>
      <c r="C79" s="5" t="s">
        <v>91</v>
      </c>
      <c r="D79" s="5" t="s">
        <v>28</v>
      </c>
      <c r="E79" s="5" t="s">
        <v>44</v>
      </c>
      <c r="F79" s="5" t="s">
        <v>45</v>
      </c>
      <c r="G79" s="5" t="s">
        <v>46</v>
      </c>
      <c r="H79" s="5" t="s">
        <v>17</v>
      </c>
    </row>
    <row r="80" customFormat="false" ht="15" hidden="false" customHeight="false" outlineLevel="0" collapsed="false">
      <c r="A80" s="4" t="s">
        <v>217</v>
      </c>
      <c r="B80" s="5" t="s">
        <v>218</v>
      </c>
      <c r="C80" s="5" t="s">
        <v>94</v>
      </c>
      <c r="D80" s="5" t="s">
        <v>35</v>
      </c>
      <c r="E80" s="5" t="s">
        <v>52</v>
      </c>
      <c r="F80" s="5" t="s">
        <v>15</v>
      </c>
      <c r="G80" s="5" t="s">
        <v>53</v>
      </c>
      <c r="H80" s="5" t="s">
        <v>39</v>
      </c>
    </row>
    <row r="81" customFormat="false" ht="15" hidden="false" customHeight="false" outlineLevel="0" collapsed="false">
      <c r="A81" s="4" t="s">
        <v>219</v>
      </c>
      <c r="B81" s="5" t="s">
        <v>220</v>
      </c>
      <c r="C81" s="5" t="s">
        <v>97</v>
      </c>
      <c r="D81" s="5" t="s">
        <v>43</v>
      </c>
      <c r="E81" s="5" t="s">
        <v>59</v>
      </c>
      <c r="F81" s="5" t="s">
        <v>23</v>
      </c>
      <c r="G81" s="5" t="s">
        <v>60</v>
      </c>
      <c r="H81" s="5" t="s">
        <v>47</v>
      </c>
    </row>
    <row r="82" customFormat="false" ht="15" hidden="false" customHeight="false" outlineLevel="0" collapsed="false">
      <c r="A82" s="4" t="s">
        <v>221</v>
      </c>
      <c r="B82" s="5" t="s">
        <v>222</v>
      </c>
      <c r="C82" s="5" t="s">
        <v>100</v>
      </c>
      <c r="D82" s="5" t="s">
        <v>51</v>
      </c>
      <c r="E82" s="5" t="s">
        <v>65</v>
      </c>
      <c r="F82" s="5" t="s">
        <v>30</v>
      </c>
      <c r="G82" s="5" t="s">
        <v>66</v>
      </c>
      <c r="H82" s="5" t="s">
        <v>54</v>
      </c>
    </row>
    <row r="83" customFormat="false" ht="15" hidden="false" customHeight="false" outlineLevel="0" collapsed="false">
      <c r="A83" s="4" t="s">
        <v>223</v>
      </c>
      <c r="B83" s="5" t="s">
        <v>224</v>
      </c>
      <c r="C83" s="5" t="s">
        <v>103</v>
      </c>
      <c r="D83" s="5" t="s">
        <v>58</v>
      </c>
      <c r="E83" s="5" t="s">
        <v>70</v>
      </c>
      <c r="F83" s="5" t="s">
        <v>37</v>
      </c>
      <c r="G83" s="5" t="s">
        <v>71</v>
      </c>
      <c r="H83" s="5" t="s">
        <v>17</v>
      </c>
    </row>
    <row r="84" customFormat="false" ht="15" hidden="false" customHeight="false" outlineLevel="0" collapsed="false">
      <c r="A84" s="4" t="s">
        <v>225</v>
      </c>
      <c r="B84" s="5" t="s">
        <v>226</v>
      </c>
      <c r="C84" s="5" t="s">
        <v>106</v>
      </c>
      <c r="D84" s="5" t="s">
        <v>64</v>
      </c>
      <c r="E84" s="5" t="s">
        <v>75</v>
      </c>
      <c r="F84" s="5" t="s">
        <v>45</v>
      </c>
      <c r="G84" s="5" t="s">
        <v>76</v>
      </c>
      <c r="H84" s="5" t="s">
        <v>17</v>
      </c>
    </row>
    <row r="85" customFormat="false" ht="15" hidden="false" customHeight="false" outlineLevel="0" collapsed="false">
      <c r="A85" s="4" t="s">
        <v>227</v>
      </c>
      <c r="B85" s="5" t="s">
        <v>228</v>
      </c>
      <c r="C85" s="5" t="s">
        <v>12</v>
      </c>
      <c r="D85" s="5" t="s">
        <v>13</v>
      </c>
      <c r="E85" s="5" t="s">
        <v>14</v>
      </c>
      <c r="F85" s="5" t="s">
        <v>15</v>
      </c>
      <c r="G85" s="5" t="s">
        <v>16</v>
      </c>
      <c r="H85" s="5" t="s">
        <v>17</v>
      </c>
    </row>
    <row r="86" customFormat="false" ht="15" hidden="false" customHeight="false" outlineLevel="0" collapsed="false">
      <c r="A86" s="4" t="s">
        <v>229</v>
      </c>
      <c r="B86" s="5" t="s">
        <v>230</v>
      </c>
      <c r="C86" s="5" t="s">
        <v>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39</v>
      </c>
    </row>
    <row r="87" customFormat="false" ht="15" hidden="false" customHeight="false" outlineLevel="0" collapsed="false">
      <c r="A87" s="4" t="s">
        <v>231</v>
      </c>
      <c r="B87" s="5" t="s">
        <v>232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47</v>
      </c>
    </row>
    <row r="88" customFormat="false" ht="15" hidden="false" customHeight="false" outlineLevel="0" collapsed="false">
      <c r="A88" s="4" t="s">
        <v>233</v>
      </c>
      <c r="B88" s="5" t="s">
        <v>234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  <c r="H88" s="5" t="s">
        <v>54</v>
      </c>
    </row>
    <row r="89" customFormat="false" ht="15" hidden="false" customHeight="false" outlineLevel="0" collapsed="false">
      <c r="A89" s="4" t="s">
        <v>235</v>
      </c>
      <c r="B89" s="5" t="s">
        <v>236</v>
      </c>
      <c r="C89" s="5" t="s">
        <v>42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17</v>
      </c>
    </row>
    <row r="90" customFormat="false" ht="15" hidden="false" customHeight="false" outlineLevel="0" collapsed="false">
      <c r="A90" s="4" t="s">
        <v>237</v>
      </c>
      <c r="B90" s="5" t="s">
        <v>238</v>
      </c>
      <c r="C90" s="5" t="s">
        <v>50</v>
      </c>
      <c r="D90" s="5" t="s">
        <v>51</v>
      </c>
      <c r="E90" s="5" t="s">
        <v>52</v>
      </c>
      <c r="F90" s="5" t="s">
        <v>15</v>
      </c>
      <c r="G90" s="5" t="s">
        <v>53</v>
      </c>
      <c r="H90" s="5" t="s">
        <v>17</v>
      </c>
    </row>
    <row r="91" customFormat="false" ht="15" hidden="false" customHeight="false" outlineLevel="0" collapsed="false">
      <c r="A91" s="4" t="s">
        <v>239</v>
      </c>
      <c r="B91" s="5" t="s">
        <v>240</v>
      </c>
      <c r="C91" s="5" t="s">
        <v>57</v>
      </c>
      <c r="D91" s="5" t="s">
        <v>58</v>
      </c>
      <c r="E91" s="5" t="s">
        <v>59</v>
      </c>
      <c r="F91" s="5" t="s">
        <v>23</v>
      </c>
      <c r="G91" s="5" t="s">
        <v>60</v>
      </c>
      <c r="H91" s="5" t="s">
        <v>17</v>
      </c>
    </row>
    <row r="92" customFormat="false" ht="15" hidden="false" customHeight="false" outlineLevel="0" collapsed="false">
      <c r="A92" s="4" t="s">
        <v>241</v>
      </c>
      <c r="B92" s="5" t="s">
        <v>242</v>
      </c>
      <c r="C92" s="5" t="s">
        <v>63</v>
      </c>
      <c r="D92" s="5" t="s">
        <v>64</v>
      </c>
      <c r="E92" s="5" t="s">
        <v>65</v>
      </c>
      <c r="F92" s="5" t="s">
        <v>30</v>
      </c>
      <c r="G92" s="5" t="s">
        <v>66</v>
      </c>
      <c r="H92" s="5" t="s">
        <v>39</v>
      </c>
    </row>
    <row r="93" customFormat="false" ht="15" hidden="false" customHeight="false" outlineLevel="0" collapsed="false">
      <c r="A93" s="4" t="s">
        <v>243</v>
      </c>
      <c r="B93" s="5" t="s">
        <v>244</v>
      </c>
      <c r="C93" s="5" t="s">
        <v>69</v>
      </c>
      <c r="D93" s="5" t="s">
        <v>13</v>
      </c>
      <c r="E93" s="5" t="s">
        <v>70</v>
      </c>
      <c r="F93" s="5" t="s">
        <v>37</v>
      </c>
      <c r="G93" s="5" t="s">
        <v>71</v>
      </c>
      <c r="H93" s="5" t="s">
        <v>47</v>
      </c>
    </row>
    <row r="94" customFormat="false" ht="15" hidden="false" customHeight="false" outlineLevel="0" collapsed="false">
      <c r="A94" s="4" t="s">
        <v>245</v>
      </c>
      <c r="B94" s="5" t="s">
        <v>246</v>
      </c>
      <c r="C94" s="5" t="s">
        <v>74</v>
      </c>
      <c r="D94" s="5" t="s">
        <v>21</v>
      </c>
      <c r="E94" s="5" t="s">
        <v>75</v>
      </c>
      <c r="F94" s="5" t="s">
        <v>45</v>
      </c>
      <c r="G94" s="5" t="s">
        <v>76</v>
      </c>
      <c r="H94" s="5" t="s">
        <v>54</v>
      </c>
    </row>
    <row r="95" customFormat="false" ht="15" hidden="false" customHeight="false" outlineLevel="0" collapsed="false">
      <c r="A95" s="4" t="s">
        <v>247</v>
      </c>
      <c r="B95" s="5" t="s">
        <v>248</v>
      </c>
      <c r="C95" s="5" t="s">
        <v>79</v>
      </c>
      <c r="D95" s="5" t="s">
        <v>28</v>
      </c>
      <c r="E95" s="5" t="s">
        <v>14</v>
      </c>
      <c r="F95" s="5" t="s">
        <v>15</v>
      </c>
      <c r="G95" s="5" t="s">
        <v>16</v>
      </c>
      <c r="H95" s="5" t="s">
        <v>17</v>
      </c>
    </row>
    <row r="96" customFormat="false" ht="15" hidden="false" customHeight="false" outlineLevel="0" collapsed="false">
      <c r="A96" s="4" t="s">
        <v>249</v>
      </c>
      <c r="B96" s="5" t="s">
        <v>250</v>
      </c>
      <c r="C96" s="5" t="s">
        <v>82</v>
      </c>
      <c r="D96" s="5" t="s">
        <v>35</v>
      </c>
      <c r="E96" s="5" t="s">
        <v>22</v>
      </c>
      <c r="F96" s="5" t="s">
        <v>23</v>
      </c>
      <c r="G96" s="5" t="s">
        <v>24</v>
      </c>
      <c r="H96" s="5" t="s">
        <v>17</v>
      </c>
    </row>
    <row r="97" customFormat="false" ht="15" hidden="false" customHeight="false" outlineLevel="0" collapsed="false">
      <c r="A97" s="4" t="s">
        <v>251</v>
      </c>
      <c r="B97" s="5" t="s">
        <v>252</v>
      </c>
      <c r="C97" s="5" t="s">
        <v>85</v>
      </c>
      <c r="D97" s="5" t="s">
        <v>43</v>
      </c>
      <c r="E97" s="5" t="s">
        <v>29</v>
      </c>
      <c r="F97" s="5" t="s">
        <v>30</v>
      </c>
      <c r="G97" s="5" t="s">
        <v>31</v>
      </c>
      <c r="H97" s="5" t="s">
        <v>17</v>
      </c>
    </row>
    <row r="98" customFormat="false" ht="15" hidden="false" customHeight="false" outlineLevel="0" collapsed="false">
      <c r="A98" s="4" t="s">
        <v>253</v>
      </c>
      <c r="B98" s="5" t="s">
        <v>254</v>
      </c>
      <c r="C98" s="5" t="s">
        <v>88</v>
      </c>
      <c r="D98" s="5" t="s">
        <v>51</v>
      </c>
      <c r="E98" s="5" t="s">
        <v>36</v>
      </c>
      <c r="F98" s="5" t="s">
        <v>37</v>
      </c>
      <c r="G98" s="5" t="s">
        <v>38</v>
      </c>
      <c r="H98" s="5" t="s">
        <v>39</v>
      </c>
    </row>
    <row r="99" customFormat="false" ht="15" hidden="false" customHeight="false" outlineLevel="0" collapsed="false">
      <c r="A99" s="4" t="s">
        <v>255</v>
      </c>
      <c r="B99" s="5" t="s">
        <v>256</v>
      </c>
      <c r="C99" s="5" t="s">
        <v>91</v>
      </c>
      <c r="D99" s="5" t="s">
        <v>58</v>
      </c>
      <c r="E99" s="5" t="s">
        <v>44</v>
      </c>
      <c r="F99" s="5" t="s">
        <v>45</v>
      </c>
      <c r="G99" s="5" t="s">
        <v>46</v>
      </c>
      <c r="H99" s="5" t="s">
        <v>47</v>
      </c>
    </row>
    <row r="100" customFormat="false" ht="15" hidden="false" customHeight="false" outlineLevel="0" collapsed="false">
      <c r="A100" s="4" t="s">
        <v>257</v>
      </c>
      <c r="B100" s="5" t="s">
        <v>258</v>
      </c>
      <c r="C100" s="5" t="s">
        <v>94</v>
      </c>
      <c r="D100" s="5" t="s">
        <v>64</v>
      </c>
      <c r="E100" s="5" t="s">
        <v>52</v>
      </c>
      <c r="F100" s="5" t="s">
        <v>15</v>
      </c>
      <c r="G100" s="5" t="s">
        <v>53</v>
      </c>
      <c r="H100" s="5" t="s">
        <v>54</v>
      </c>
    </row>
    <row r="101" customFormat="false" ht="15" hidden="false" customHeight="false" outlineLevel="0" collapsed="false">
      <c r="A101" s="4" t="s">
        <v>259</v>
      </c>
      <c r="B101" s="5" t="s">
        <v>260</v>
      </c>
      <c r="C101" s="5" t="s">
        <v>97</v>
      </c>
      <c r="D101" s="5" t="s">
        <v>13</v>
      </c>
      <c r="E101" s="5" t="s">
        <v>59</v>
      </c>
      <c r="F101" s="5" t="s">
        <v>23</v>
      </c>
      <c r="G101" s="5" t="s">
        <v>60</v>
      </c>
      <c r="H101" s="5" t="s">
        <v>17</v>
      </c>
    </row>
    <row r="102" customFormat="false" ht="15" hidden="false" customHeight="false" outlineLevel="0" collapsed="false">
      <c r="A102" s="4" t="s">
        <v>261</v>
      </c>
      <c r="B102" s="5" t="s">
        <v>262</v>
      </c>
      <c r="C102" s="5" t="s">
        <v>100</v>
      </c>
      <c r="D102" s="5" t="s">
        <v>21</v>
      </c>
      <c r="E102" s="5" t="s">
        <v>65</v>
      </c>
      <c r="F102" s="5" t="s">
        <v>30</v>
      </c>
      <c r="G102" s="5" t="s">
        <v>66</v>
      </c>
      <c r="H102" s="5" t="s">
        <v>17</v>
      </c>
    </row>
    <row r="103" customFormat="false" ht="15" hidden="false" customHeight="false" outlineLevel="0" collapsed="false">
      <c r="A103" s="4" t="s">
        <v>263</v>
      </c>
      <c r="B103" s="5" t="s">
        <v>264</v>
      </c>
      <c r="C103" s="5" t="s">
        <v>103</v>
      </c>
      <c r="D103" s="5" t="s">
        <v>28</v>
      </c>
      <c r="E103" s="5" t="s">
        <v>70</v>
      </c>
      <c r="F103" s="5" t="s">
        <v>37</v>
      </c>
      <c r="G103" s="5" t="s">
        <v>71</v>
      </c>
      <c r="H103" s="5" t="s">
        <v>17</v>
      </c>
    </row>
    <row r="104" customFormat="false" ht="15" hidden="false" customHeight="false" outlineLevel="0" collapsed="false">
      <c r="A104" s="4" t="s">
        <v>265</v>
      </c>
      <c r="B104" s="5" t="s">
        <v>266</v>
      </c>
      <c r="C104" s="5" t="s">
        <v>106</v>
      </c>
      <c r="D104" s="5" t="s">
        <v>35</v>
      </c>
      <c r="E104" s="5" t="s">
        <v>75</v>
      </c>
      <c r="F104" s="5" t="s">
        <v>45</v>
      </c>
      <c r="G104" s="5" t="s">
        <v>76</v>
      </c>
      <c r="H10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9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  <c r="G4" s="3" t="s">
        <v>274</v>
      </c>
    </row>
    <row r="5" customFormat="false" ht="15" hidden="false" customHeight="false" outlineLevel="0" collapsed="false">
      <c r="A5" s="4" t="s">
        <v>10</v>
      </c>
      <c r="B5" s="5" t="n">
        <v>179</v>
      </c>
      <c r="C5" s="5" t="n">
        <v>2208</v>
      </c>
      <c r="D5" s="5" t="n">
        <v>93</v>
      </c>
      <c r="E5" s="5" t="n">
        <v>23658</v>
      </c>
      <c r="F5" s="5" t="n">
        <f aca="false">B5+C5</f>
        <v>2387</v>
      </c>
      <c r="G5" s="5" t="n">
        <f aca="false">B5+C5+D5+E5</f>
        <v>26138</v>
      </c>
    </row>
    <row r="6" customFormat="false" ht="15" hidden="false" customHeight="false" outlineLevel="0" collapsed="false">
      <c r="A6" s="4" t="s">
        <v>18</v>
      </c>
      <c r="B6" s="5" t="n">
        <v>225</v>
      </c>
      <c r="C6" s="5" t="n">
        <v>842</v>
      </c>
      <c r="D6" s="5" t="n">
        <v>9</v>
      </c>
      <c r="E6" s="5" t="n">
        <v>86223</v>
      </c>
      <c r="F6" s="5" t="n">
        <f aca="false">B6+C6</f>
        <v>1067</v>
      </c>
      <c r="G6" s="5" t="n">
        <f aca="false">B6+C6+D6+E6</f>
        <v>87299</v>
      </c>
    </row>
    <row r="7" customFormat="false" ht="15" hidden="false" customHeight="false" outlineLevel="0" collapsed="false">
      <c r="A7" s="4" t="s">
        <v>25</v>
      </c>
      <c r="B7" s="5" t="n">
        <v>140</v>
      </c>
      <c r="C7" s="5" t="n">
        <v>2888</v>
      </c>
      <c r="D7" s="5" t="n">
        <v>5</v>
      </c>
      <c r="E7" s="5" t="n">
        <v>20892</v>
      </c>
      <c r="F7" s="5" t="n">
        <f aca="false">B7+C7</f>
        <v>3028</v>
      </c>
      <c r="G7" s="5" t="n">
        <f aca="false">B7+C7+D7+E7</f>
        <v>23925</v>
      </c>
    </row>
    <row r="8" customFormat="false" ht="15" hidden="false" customHeight="false" outlineLevel="0" collapsed="false">
      <c r="A8" s="4" t="s">
        <v>32</v>
      </c>
      <c r="B8" s="5" t="n">
        <v>282</v>
      </c>
      <c r="C8" s="5" t="n">
        <v>604</v>
      </c>
      <c r="D8" s="5" t="n">
        <v>97</v>
      </c>
      <c r="E8" s="5" t="n">
        <v>36969</v>
      </c>
      <c r="F8" s="5" t="n">
        <f aca="false">B8+C8</f>
        <v>886</v>
      </c>
      <c r="G8" s="5" t="n">
        <f aca="false">B8+C8+D8+E8</f>
        <v>37952</v>
      </c>
    </row>
    <row r="9" customFormat="false" ht="15" hidden="false" customHeight="false" outlineLevel="0" collapsed="false">
      <c r="A9" s="4" t="s">
        <v>40</v>
      </c>
      <c r="B9" s="5" t="n">
        <v>580</v>
      </c>
      <c r="C9" s="5" t="n">
        <v>2959</v>
      </c>
      <c r="D9" s="5" t="n">
        <v>83</v>
      </c>
      <c r="E9" s="5" t="n">
        <v>65185</v>
      </c>
      <c r="F9" s="5" t="n">
        <f aca="false">B9+C9</f>
        <v>3539</v>
      </c>
      <c r="G9" s="5" t="n">
        <f aca="false">B9+C9+D9+E9</f>
        <v>68807</v>
      </c>
    </row>
    <row r="10" customFormat="false" ht="15" hidden="false" customHeight="false" outlineLevel="0" collapsed="false">
      <c r="A10" s="4" t="s">
        <v>48</v>
      </c>
      <c r="B10" s="5" t="n">
        <v>600</v>
      </c>
      <c r="C10" s="5" t="n">
        <v>2057</v>
      </c>
      <c r="D10" s="5" t="n">
        <v>115</v>
      </c>
      <c r="E10" s="5" t="n">
        <v>56678</v>
      </c>
      <c r="F10" s="5" t="n">
        <f aca="false">B10+C10</f>
        <v>2657</v>
      </c>
      <c r="G10" s="5" t="n">
        <f aca="false">B10+C10+D10+E10</f>
        <v>59450</v>
      </c>
    </row>
    <row r="11" customFormat="false" ht="15" hidden="false" customHeight="false" outlineLevel="0" collapsed="false">
      <c r="A11" s="4" t="s">
        <v>55</v>
      </c>
      <c r="B11" s="5" t="n">
        <v>256</v>
      </c>
      <c r="C11" s="5" t="n">
        <v>2264</v>
      </c>
      <c r="D11" s="5" t="n">
        <v>67</v>
      </c>
      <c r="E11" s="5" t="n">
        <v>40877</v>
      </c>
      <c r="F11" s="5" t="n">
        <f aca="false">B11+C11</f>
        <v>2520</v>
      </c>
      <c r="G11" s="5" t="n">
        <f aca="false">B11+C11+D11+E11</f>
        <v>43464</v>
      </c>
    </row>
    <row r="12" customFormat="false" ht="15" hidden="false" customHeight="false" outlineLevel="0" collapsed="false">
      <c r="A12" s="4" t="s">
        <v>61</v>
      </c>
      <c r="B12" s="5" t="n">
        <v>485</v>
      </c>
      <c r="C12" s="5" t="n">
        <v>1092</v>
      </c>
      <c r="D12" s="5" t="n">
        <v>72</v>
      </c>
      <c r="E12" s="5" t="n">
        <v>42359</v>
      </c>
      <c r="F12" s="5" t="n">
        <f aca="false">B12+C12</f>
        <v>1577</v>
      </c>
      <c r="G12" s="5" t="n">
        <f aca="false">B12+C12+D12+E12</f>
        <v>44008</v>
      </c>
    </row>
    <row r="13" customFormat="false" ht="15" hidden="false" customHeight="false" outlineLevel="0" collapsed="false">
      <c r="A13" s="4" t="s">
        <v>67</v>
      </c>
      <c r="B13" s="5" t="n">
        <v>482</v>
      </c>
      <c r="C13" s="5" t="n">
        <v>558</v>
      </c>
      <c r="D13" s="5" t="n">
        <v>118</v>
      </c>
      <c r="E13" s="5" t="n">
        <v>77171</v>
      </c>
      <c r="F13" s="5" t="n">
        <f aca="false">B13+C13</f>
        <v>1040</v>
      </c>
      <c r="G13" s="5" t="n">
        <f aca="false">B13+C13+D13+E13</f>
        <v>78329</v>
      </c>
    </row>
    <row r="14" customFormat="false" ht="15" hidden="false" customHeight="false" outlineLevel="0" collapsed="false">
      <c r="A14" s="4" t="s">
        <v>72</v>
      </c>
      <c r="B14" s="5" t="n">
        <v>347</v>
      </c>
      <c r="C14" s="5" t="n">
        <v>1904</v>
      </c>
      <c r="D14" s="5" t="n">
        <v>51</v>
      </c>
      <c r="E14" s="5" t="n">
        <v>68934</v>
      </c>
      <c r="F14" s="5" t="n">
        <f aca="false">B14+C14</f>
        <v>2251</v>
      </c>
      <c r="G14" s="5" t="n">
        <f aca="false">B14+C14+D14+E14</f>
        <v>71236</v>
      </c>
    </row>
    <row r="15" customFormat="false" ht="15" hidden="false" customHeight="false" outlineLevel="0" collapsed="false">
      <c r="A15" s="4" t="s">
        <v>77</v>
      </c>
      <c r="B15" s="5" t="n">
        <v>457</v>
      </c>
      <c r="C15" s="5" t="n">
        <v>717</v>
      </c>
      <c r="D15" s="5" t="n">
        <v>14</v>
      </c>
      <c r="E15" s="5" t="n">
        <v>81127</v>
      </c>
      <c r="F15" s="5" t="n">
        <f aca="false">B15+C15</f>
        <v>1174</v>
      </c>
      <c r="G15" s="5" t="n">
        <f aca="false">B15+C15+D15+E15</f>
        <v>82315</v>
      </c>
    </row>
    <row r="16" customFormat="false" ht="15" hidden="false" customHeight="false" outlineLevel="0" collapsed="false">
      <c r="A16" s="4" t="s">
        <v>80</v>
      </c>
      <c r="B16" s="5" t="n">
        <v>43</v>
      </c>
      <c r="C16" s="5" t="n">
        <v>2754</v>
      </c>
      <c r="D16" s="5" t="n">
        <v>9</v>
      </c>
      <c r="E16" s="5" t="n">
        <v>29465</v>
      </c>
      <c r="F16" s="5" t="n">
        <f aca="false">B16+C16</f>
        <v>2797</v>
      </c>
      <c r="G16" s="5" t="n">
        <f aca="false">B16+C16+D16+E16</f>
        <v>32271</v>
      </c>
    </row>
    <row r="17" customFormat="false" ht="15" hidden="false" customHeight="false" outlineLevel="0" collapsed="false">
      <c r="A17" s="4" t="s">
        <v>83</v>
      </c>
      <c r="B17" s="5" t="n">
        <v>441</v>
      </c>
      <c r="C17" s="5" t="n">
        <v>1654</v>
      </c>
      <c r="D17" s="5" t="n">
        <v>69</v>
      </c>
      <c r="E17" s="5" t="n">
        <v>41496</v>
      </c>
      <c r="F17" s="5" t="n">
        <f aca="false">B17+C17</f>
        <v>2095</v>
      </c>
      <c r="G17" s="5" t="n">
        <f aca="false">B17+C17+D17+E17</f>
        <v>43660</v>
      </c>
    </row>
    <row r="18" customFormat="false" ht="15" hidden="false" customHeight="false" outlineLevel="0" collapsed="false">
      <c r="A18" s="4" t="s">
        <v>86</v>
      </c>
      <c r="B18" s="5" t="n">
        <v>556</v>
      </c>
      <c r="C18" s="5" t="n">
        <v>2252</v>
      </c>
      <c r="D18" s="5" t="n">
        <v>70</v>
      </c>
      <c r="E18" s="5" t="n">
        <v>59979</v>
      </c>
      <c r="F18" s="5" t="n">
        <f aca="false">B18+C18</f>
        <v>2808</v>
      </c>
      <c r="G18" s="5" t="n">
        <f aca="false">B18+C18+D18+E18</f>
        <v>62857</v>
      </c>
    </row>
    <row r="19" customFormat="false" ht="15" hidden="false" customHeight="false" outlineLevel="0" collapsed="false">
      <c r="A19" s="4" t="s">
        <v>89</v>
      </c>
      <c r="B19" s="5" t="n">
        <v>488</v>
      </c>
      <c r="C19" s="5" t="n">
        <v>1758</v>
      </c>
      <c r="D19" s="5" t="n">
        <v>65</v>
      </c>
      <c r="E19" s="5" t="n">
        <v>44009</v>
      </c>
      <c r="F19" s="5" t="n">
        <f aca="false">B19+C19</f>
        <v>2246</v>
      </c>
      <c r="G19" s="5" t="n">
        <f aca="false">B19+C19+D19+E19</f>
        <v>46320</v>
      </c>
    </row>
    <row r="20" customFormat="false" ht="15" hidden="false" customHeight="false" outlineLevel="0" collapsed="false">
      <c r="A20" s="4" t="s">
        <v>92</v>
      </c>
      <c r="B20" s="5" t="n">
        <v>157</v>
      </c>
      <c r="C20" s="5" t="n">
        <v>904</v>
      </c>
      <c r="D20" s="5" t="n">
        <v>67</v>
      </c>
      <c r="E20" s="5" t="n">
        <v>57735</v>
      </c>
      <c r="F20" s="5" t="n">
        <f aca="false">B20+C20</f>
        <v>1061</v>
      </c>
      <c r="G20" s="5" t="n">
        <f aca="false">B20+C20+D20+E20</f>
        <v>58863</v>
      </c>
    </row>
    <row r="21" customFormat="false" ht="15" hidden="false" customHeight="false" outlineLevel="0" collapsed="false">
      <c r="A21" s="4" t="s">
        <v>95</v>
      </c>
      <c r="B21" s="5" t="n">
        <v>129</v>
      </c>
      <c r="C21" s="5" t="n">
        <v>2605</v>
      </c>
      <c r="D21" s="5" t="n">
        <v>11</v>
      </c>
      <c r="E21" s="5" t="n">
        <v>39172</v>
      </c>
      <c r="F21" s="5" t="n">
        <f aca="false">B21+C21</f>
        <v>2734</v>
      </c>
      <c r="G21" s="5" t="n">
        <f aca="false">B21+C21+D21+E21</f>
        <v>41917</v>
      </c>
    </row>
    <row r="22" customFormat="false" ht="15" hidden="false" customHeight="false" outlineLevel="0" collapsed="false">
      <c r="A22" s="4" t="s">
        <v>98</v>
      </c>
      <c r="B22" s="5" t="n">
        <v>490</v>
      </c>
      <c r="C22" s="5" t="n">
        <v>283</v>
      </c>
      <c r="D22" s="5" t="n">
        <v>112</v>
      </c>
      <c r="E22" s="5" t="n">
        <v>36059</v>
      </c>
      <c r="F22" s="5" t="n">
        <f aca="false">B22+C22</f>
        <v>773</v>
      </c>
      <c r="G22" s="5" t="n">
        <f aca="false">B22+C22+D22+E22</f>
        <v>36944</v>
      </c>
    </row>
    <row r="23" customFormat="false" ht="15" hidden="false" customHeight="false" outlineLevel="0" collapsed="false">
      <c r="A23" s="4" t="s">
        <v>101</v>
      </c>
      <c r="B23" s="5" t="n">
        <v>442</v>
      </c>
      <c r="C23" s="5" t="n">
        <v>845</v>
      </c>
      <c r="D23" s="5" t="n">
        <v>54</v>
      </c>
      <c r="E23" s="5" t="n">
        <v>75433</v>
      </c>
      <c r="F23" s="5" t="n">
        <f aca="false">B23+C23</f>
        <v>1287</v>
      </c>
      <c r="G23" s="5" t="n">
        <f aca="false">B23+C23+D23+E23</f>
        <v>76774</v>
      </c>
    </row>
    <row r="24" customFormat="false" ht="15" hidden="false" customHeight="false" outlineLevel="0" collapsed="false">
      <c r="A24" s="4" t="s">
        <v>104</v>
      </c>
      <c r="B24" s="5" t="n">
        <v>69</v>
      </c>
      <c r="C24" s="5" t="n">
        <v>1124</v>
      </c>
      <c r="D24" s="5" t="n">
        <v>102</v>
      </c>
      <c r="E24" s="5" t="n">
        <v>21616</v>
      </c>
      <c r="F24" s="5" t="n">
        <f aca="false">B24+C24</f>
        <v>1193</v>
      </c>
      <c r="G24" s="5" t="n">
        <f aca="false">B24+C24+D24+E24</f>
        <v>22911</v>
      </c>
    </row>
    <row r="25" customFormat="false" ht="15" hidden="false" customHeight="false" outlineLevel="0" collapsed="false">
      <c r="A25" s="4" t="s">
        <v>107</v>
      </c>
      <c r="B25" s="5" t="n">
        <v>254</v>
      </c>
      <c r="C25" s="5" t="n">
        <v>2422</v>
      </c>
      <c r="D25" s="5" t="n">
        <v>62</v>
      </c>
      <c r="E25" s="5" t="n">
        <v>46344</v>
      </c>
      <c r="F25" s="5" t="n">
        <f aca="false">B25+C25</f>
        <v>2676</v>
      </c>
      <c r="G25" s="5" t="n">
        <f aca="false">B25+C25+D25+E25</f>
        <v>49082</v>
      </c>
    </row>
    <row r="26" customFormat="false" ht="15" hidden="false" customHeight="false" outlineLevel="0" collapsed="false">
      <c r="A26" s="4" t="s">
        <v>109</v>
      </c>
      <c r="B26" s="5" t="n">
        <v>247</v>
      </c>
      <c r="C26" s="5" t="n">
        <v>662</v>
      </c>
      <c r="D26" s="5" t="n">
        <v>75</v>
      </c>
      <c r="E26" s="5" t="n">
        <v>62904</v>
      </c>
      <c r="F26" s="5" t="n">
        <f aca="false">B26+C26</f>
        <v>909</v>
      </c>
      <c r="G26" s="5" t="n">
        <f aca="false">B26+C26+D26+E26</f>
        <v>63888</v>
      </c>
    </row>
    <row r="27" customFormat="false" ht="15" hidden="false" customHeight="false" outlineLevel="0" collapsed="false">
      <c r="A27" s="4" t="s">
        <v>111</v>
      </c>
      <c r="B27" s="5" t="n">
        <v>592</v>
      </c>
      <c r="C27" s="5" t="n">
        <v>570</v>
      </c>
      <c r="D27" s="5" t="n">
        <v>88</v>
      </c>
      <c r="E27" s="5" t="n">
        <v>37799</v>
      </c>
      <c r="F27" s="5" t="n">
        <f aca="false">B27+C27</f>
        <v>1162</v>
      </c>
      <c r="G27" s="5" t="n">
        <f aca="false">B27+C27+D27+E27</f>
        <v>39049</v>
      </c>
    </row>
    <row r="28" customFormat="false" ht="15" hidden="false" customHeight="false" outlineLevel="0" collapsed="false">
      <c r="A28" s="4" t="s">
        <v>113</v>
      </c>
      <c r="B28" s="5" t="n">
        <v>348</v>
      </c>
      <c r="C28" s="5" t="n">
        <v>2371</v>
      </c>
      <c r="D28" s="5" t="n">
        <v>93</v>
      </c>
      <c r="E28" s="5" t="n">
        <v>35037</v>
      </c>
      <c r="F28" s="5" t="n">
        <f aca="false">B28+C28</f>
        <v>2719</v>
      </c>
      <c r="G28" s="5" t="n">
        <f aca="false">B28+C28+D28+E28</f>
        <v>37849</v>
      </c>
    </row>
    <row r="29" customFormat="false" ht="15" hidden="false" customHeight="false" outlineLevel="0" collapsed="false">
      <c r="A29" s="4" t="s">
        <v>115</v>
      </c>
      <c r="B29" s="5" t="n">
        <v>427</v>
      </c>
      <c r="C29" s="5" t="n">
        <v>725</v>
      </c>
      <c r="D29" s="5" t="n">
        <v>47</v>
      </c>
      <c r="E29" s="5" t="n">
        <v>58457</v>
      </c>
      <c r="F29" s="5" t="n">
        <f aca="false">B29+C29</f>
        <v>1152</v>
      </c>
      <c r="G29" s="5" t="n">
        <f aca="false">B29+C29+D29+E29</f>
        <v>59656</v>
      </c>
    </row>
    <row r="30" customFormat="false" ht="15" hidden="false" customHeight="false" outlineLevel="0" collapsed="false">
      <c r="A30" s="4" t="s">
        <v>117</v>
      </c>
      <c r="B30" s="5" t="n">
        <v>476</v>
      </c>
      <c r="C30" s="5" t="n">
        <v>1019</v>
      </c>
      <c r="D30" s="5" t="n">
        <v>104</v>
      </c>
      <c r="E30" s="5" t="n">
        <v>51192</v>
      </c>
      <c r="F30" s="5" t="n">
        <f aca="false">B30+C30</f>
        <v>1495</v>
      </c>
      <c r="G30" s="5" t="n">
        <f aca="false">B30+C30+D30+E30</f>
        <v>52791</v>
      </c>
    </row>
    <row r="31" customFormat="false" ht="15" hidden="false" customHeight="false" outlineLevel="0" collapsed="false">
      <c r="A31" s="4" t="s">
        <v>119</v>
      </c>
      <c r="B31" s="5" t="n">
        <v>141</v>
      </c>
      <c r="C31" s="5" t="n">
        <v>1097</v>
      </c>
      <c r="D31" s="5" t="n">
        <v>94</v>
      </c>
      <c r="E31" s="5" t="n">
        <v>33133</v>
      </c>
      <c r="F31" s="5" t="n">
        <f aca="false">B31+C31</f>
        <v>1238</v>
      </c>
      <c r="G31" s="5" t="n">
        <f aca="false">B31+C31+D31+E31</f>
        <v>34465</v>
      </c>
    </row>
    <row r="32" customFormat="false" ht="15" hidden="false" customHeight="false" outlineLevel="0" collapsed="false">
      <c r="A32" s="4" t="s">
        <v>121</v>
      </c>
      <c r="B32" s="5" t="n">
        <v>145</v>
      </c>
      <c r="C32" s="5" t="n">
        <v>599</v>
      </c>
      <c r="D32" s="5" t="n">
        <v>84</v>
      </c>
      <c r="E32" s="5" t="n">
        <v>74546</v>
      </c>
      <c r="F32" s="5" t="n">
        <f aca="false">B32+C32</f>
        <v>744</v>
      </c>
      <c r="G32" s="5" t="n">
        <f aca="false">B32+C32+D32+E32</f>
        <v>75374</v>
      </c>
    </row>
    <row r="33" customFormat="false" ht="15" hidden="false" customHeight="false" outlineLevel="0" collapsed="false">
      <c r="A33" s="4" t="s">
        <v>123</v>
      </c>
      <c r="B33" s="5" t="n">
        <v>578</v>
      </c>
      <c r="C33" s="5" t="n">
        <v>1500</v>
      </c>
      <c r="D33" s="5" t="n">
        <v>108</v>
      </c>
      <c r="E33" s="5" t="n">
        <v>48695</v>
      </c>
      <c r="F33" s="5" t="n">
        <f aca="false">B33+C33</f>
        <v>2078</v>
      </c>
      <c r="G33" s="5" t="n">
        <f aca="false">B33+C33+D33+E33</f>
        <v>50881</v>
      </c>
    </row>
    <row r="34" customFormat="false" ht="15" hidden="false" customHeight="false" outlineLevel="0" collapsed="false">
      <c r="A34" s="4" t="s">
        <v>125</v>
      </c>
      <c r="B34" s="5" t="n">
        <v>159</v>
      </c>
      <c r="C34" s="5" t="n">
        <v>1652</v>
      </c>
      <c r="D34" s="5" t="n">
        <v>29</v>
      </c>
      <c r="E34" s="5" t="n">
        <v>64299</v>
      </c>
      <c r="F34" s="5" t="n">
        <f aca="false">B34+C34</f>
        <v>1811</v>
      </c>
      <c r="G34" s="5" t="n">
        <f aca="false">B34+C34+D34+E34</f>
        <v>66139</v>
      </c>
    </row>
    <row r="35" customFormat="false" ht="15" hidden="false" customHeight="false" outlineLevel="0" collapsed="false">
      <c r="A35" s="4" t="s">
        <v>127</v>
      </c>
      <c r="B35" s="5" t="n">
        <v>238</v>
      </c>
      <c r="C35" s="5" t="n">
        <v>1078</v>
      </c>
      <c r="D35" s="5" t="n">
        <v>116</v>
      </c>
      <c r="E35" s="5" t="n">
        <v>56965</v>
      </c>
      <c r="F35" s="5" t="n">
        <f aca="false">B35+C35</f>
        <v>1316</v>
      </c>
      <c r="G35" s="5" t="n">
        <f aca="false">B35+C35+D35+E35</f>
        <v>58397</v>
      </c>
    </row>
    <row r="36" customFormat="false" ht="15" hidden="false" customHeight="false" outlineLevel="0" collapsed="false">
      <c r="A36" s="4" t="s">
        <v>129</v>
      </c>
      <c r="B36" s="5" t="n">
        <v>304</v>
      </c>
      <c r="C36" s="5" t="n">
        <v>2767</v>
      </c>
      <c r="D36" s="5" t="n">
        <v>85</v>
      </c>
      <c r="E36" s="5" t="n">
        <v>40987</v>
      </c>
      <c r="F36" s="5" t="n">
        <f aca="false">B36+C36</f>
        <v>3071</v>
      </c>
      <c r="G36" s="5" t="n">
        <f aca="false">B36+C36+D36+E36</f>
        <v>44143</v>
      </c>
    </row>
    <row r="37" customFormat="false" ht="15" hidden="false" customHeight="false" outlineLevel="0" collapsed="false">
      <c r="A37" s="4" t="s">
        <v>131</v>
      </c>
      <c r="B37" s="5" t="n">
        <v>504</v>
      </c>
      <c r="C37" s="5" t="n">
        <v>2265</v>
      </c>
      <c r="D37" s="5" t="n">
        <v>31</v>
      </c>
      <c r="E37" s="5" t="n">
        <v>67457</v>
      </c>
      <c r="F37" s="5" t="n">
        <f aca="false">B37+C37</f>
        <v>2769</v>
      </c>
      <c r="G37" s="5" t="n">
        <f aca="false">B37+C37+D37+E37</f>
        <v>70257</v>
      </c>
    </row>
    <row r="38" customFormat="false" ht="15" hidden="false" customHeight="false" outlineLevel="0" collapsed="false">
      <c r="A38" s="4" t="s">
        <v>133</v>
      </c>
      <c r="B38" s="5" t="n">
        <v>434</v>
      </c>
      <c r="C38" s="5" t="n">
        <v>652</v>
      </c>
      <c r="D38" s="5" t="n">
        <v>114</v>
      </c>
      <c r="E38" s="5" t="n">
        <v>46276</v>
      </c>
      <c r="F38" s="5" t="n">
        <f aca="false">B38+C38</f>
        <v>1086</v>
      </c>
      <c r="G38" s="5" t="n">
        <f aca="false">B38+C38+D38+E38</f>
        <v>47476</v>
      </c>
    </row>
    <row r="39" customFormat="false" ht="15" hidden="false" customHeight="false" outlineLevel="0" collapsed="false">
      <c r="A39" s="4" t="s">
        <v>135</v>
      </c>
      <c r="B39" s="5" t="n">
        <v>227</v>
      </c>
      <c r="C39" s="5" t="n">
        <v>2502</v>
      </c>
      <c r="D39" s="5" t="n">
        <v>92</v>
      </c>
      <c r="E39" s="5" t="n">
        <v>54787</v>
      </c>
      <c r="F39" s="5" t="n">
        <f aca="false">B39+C39</f>
        <v>2729</v>
      </c>
      <c r="G39" s="5" t="n">
        <f aca="false">B39+C39+D39+E39</f>
        <v>57608</v>
      </c>
    </row>
    <row r="40" customFormat="false" ht="15" hidden="false" customHeight="false" outlineLevel="0" collapsed="false">
      <c r="A40" s="4" t="s">
        <v>137</v>
      </c>
      <c r="B40" s="5" t="n">
        <v>254</v>
      </c>
      <c r="C40" s="5" t="n">
        <v>1168</v>
      </c>
      <c r="D40" s="5" t="n">
        <v>20</v>
      </c>
      <c r="E40" s="5" t="n">
        <v>27311</v>
      </c>
      <c r="F40" s="5" t="n">
        <f aca="false">B40+C40</f>
        <v>1422</v>
      </c>
      <c r="G40" s="5" t="n">
        <f aca="false">B40+C40+D40+E40</f>
        <v>28753</v>
      </c>
    </row>
    <row r="41" customFormat="false" ht="15" hidden="false" customHeight="false" outlineLevel="0" collapsed="false">
      <c r="A41" s="4" t="s">
        <v>139</v>
      </c>
      <c r="B41" s="5" t="n">
        <v>376</v>
      </c>
      <c r="C41" s="5" t="n">
        <v>1778</v>
      </c>
      <c r="D41" s="5" t="n">
        <v>66</v>
      </c>
      <c r="E41" s="5" t="n">
        <v>37379</v>
      </c>
      <c r="F41" s="5" t="n">
        <f aca="false">B41+C41</f>
        <v>2154</v>
      </c>
      <c r="G41" s="5" t="n">
        <f aca="false">B41+C41+D41+E41</f>
        <v>39599</v>
      </c>
    </row>
    <row r="42" customFormat="false" ht="15" hidden="false" customHeight="false" outlineLevel="0" collapsed="false">
      <c r="A42" s="4" t="s">
        <v>141</v>
      </c>
      <c r="B42" s="5" t="n">
        <v>433</v>
      </c>
      <c r="C42" s="5" t="n">
        <v>356</v>
      </c>
      <c r="D42" s="5" t="n">
        <v>86</v>
      </c>
      <c r="E42" s="5" t="n">
        <v>41393</v>
      </c>
      <c r="F42" s="5" t="n">
        <f aca="false">B42+C42</f>
        <v>789</v>
      </c>
      <c r="G42" s="5" t="n">
        <f aca="false">B42+C42+D42+E42</f>
        <v>42268</v>
      </c>
    </row>
    <row r="43" customFormat="false" ht="15" hidden="false" customHeight="false" outlineLevel="0" collapsed="false">
      <c r="A43" s="4" t="s">
        <v>143</v>
      </c>
      <c r="B43" s="5" t="n">
        <v>430</v>
      </c>
      <c r="C43" s="5" t="n">
        <v>2610</v>
      </c>
      <c r="D43" s="5" t="n">
        <v>77</v>
      </c>
      <c r="E43" s="5" t="n">
        <v>71146</v>
      </c>
      <c r="F43" s="5" t="n">
        <f aca="false">B43+C43</f>
        <v>3040</v>
      </c>
      <c r="G43" s="5" t="n">
        <f aca="false">B43+C43+D43+E43</f>
        <v>74263</v>
      </c>
    </row>
    <row r="44" customFormat="false" ht="15" hidden="false" customHeight="false" outlineLevel="0" collapsed="false">
      <c r="A44" s="4" t="s">
        <v>145</v>
      </c>
      <c r="B44" s="5" t="n">
        <v>499</v>
      </c>
      <c r="C44" s="5" t="n">
        <v>2061</v>
      </c>
      <c r="D44" s="5" t="n">
        <v>18</v>
      </c>
      <c r="E44" s="5" t="n">
        <v>33015</v>
      </c>
      <c r="F44" s="5" t="n">
        <f aca="false">B44+C44</f>
        <v>2560</v>
      </c>
      <c r="G44" s="5" t="n">
        <f aca="false">B44+C44+D44+E44</f>
        <v>35593</v>
      </c>
    </row>
    <row r="45" customFormat="false" ht="15" hidden="false" customHeight="false" outlineLevel="0" collapsed="false">
      <c r="A45" s="4" t="s">
        <v>147</v>
      </c>
      <c r="B45" s="5" t="n">
        <v>310</v>
      </c>
      <c r="C45" s="5" t="n">
        <v>1381</v>
      </c>
      <c r="D45" s="5" t="n">
        <v>72</v>
      </c>
      <c r="E45" s="5" t="n">
        <v>40202</v>
      </c>
      <c r="F45" s="5" t="n">
        <f aca="false">B45+C45</f>
        <v>1691</v>
      </c>
      <c r="G45" s="5" t="n">
        <f aca="false">B45+C45+D45+E45</f>
        <v>41965</v>
      </c>
    </row>
    <row r="46" customFormat="false" ht="15" hidden="false" customHeight="false" outlineLevel="0" collapsed="false">
      <c r="A46" s="4" t="s">
        <v>149</v>
      </c>
      <c r="B46" s="5" t="n">
        <v>535</v>
      </c>
      <c r="C46" s="5" t="n">
        <v>394</v>
      </c>
      <c r="D46" s="5" t="n">
        <v>101</v>
      </c>
      <c r="E46" s="5" t="n">
        <v>33542</v>
      </c>
      <c r="F46" s="5" t="n">
        <f aca="false">B46+C46</f>
        <v>929</v>
      </c>
      <c r="G46" s="5" t="n">
        <f aca="false">B46+C46+D46+E46</f>
        <v>34572</v>
      </c>
    </row>
    <row r="47" customFormat="false" ht="15" hidden="false" customHeight="false" outlineLevel="0" collapsed="false">
      <c r="A47" s="4" t="s">
        <v>151</v>
      </c>
      <c r="B47" s="5" t="n">
        <v>495</v>
      </c>
      <c r="C47" s="5" t="n">
        <v>1149</v>
      </c>
      <c r="D47" s="5" t="n">
        <v>27</v>
      </c>
      <c r="E47" s="5" t="n">
        <v>33633</v>
      </c>
      <c r="F47" s="5" t="n">
        <f aca="false">B47+C47</f>
        <v>1644</v>
      </c>
      <c r="G47" s="5" t="n">
        <f aca="false">B47+C47+D47+E47</f>
        <v>35304</v>
      </c>
    </row>
    <row r="48" customFormat="false" ht="15" hidden="false" customHeight="false" outlineLevel="0" collapsed="false">
      <c r="A48" s="4" t="s">
        <v>153</v>
      </c>
      <c r="B48" s="5" t="n">
        <v>91</v>
      </c>
      <c r="C48" s="5" t="n">
        <v>274</v>
      </c>
      <c r="D48" s="5" t="n">
        <v>36</v>
      </c>
      <c r="E48" s="5" t="n">
        <v>31285</v>
      </c>
      <c r="F48" s="5" t="n">
        <f aca="false">B48+C48</f>
        <v>365</v>
      </c>
      <c r="G48" s="5" t="n">
        <f aca="false">B48+C48+D48+E48</f>
        <v>31686</v>
      </c>
    </row>
    <row r="49" customFormat="false" ht="15" hidden="false" customHeight="false" outlineLevel="0" collapsed="false">
      <c r="A49" s="4" t="s">
        <v>155</v>
      </c>
      <c r="B49" s="5" t="n">
        <v>595</v>
      </c>
      <c r="C49" s="5" t="n">
        <v>2258</v>
      </c>
      <c r="D49" s="5" t="n">
        <v>76</v>
      </c>
      <c r="E49" s="5" t="n">
        <v>73000</v>
      </c>
      <c r="F49" s="5" t="n">
        <f aca="false">B49+C49</f>
        <v>2853</v>
      </c>
      <c r="G49" s="5" t="n">
        <f aca="false">B49+C49+D49+E49</f>
        <v>75929</v>
      </c>
    </row>
    <row r="50" customFormat="false" ht="15" hidden="false" customHeight="false" outlineLevel="0" collapsed="false">
      <c r="A50" s="4" t="s">
        <v>157</v>
      </c>
      <c r="B50" s="5" t="n">
        <v>564</v>
      </c>
      <c r="C50" s="5" t="n">
        <v>493</v>
      </c>
      <c r="D50" s="5" t="n">
        <v>56</v>
      </c>
      <c r="E50" s="5" t="n">
        <v>67836</v>
      </c>
      <c r="F50" s="5" t="n">
        <f aca="false">B50+C50</f>
        <v>1057</v>
      </c>
      <c r="G50" s="5" t="n">
        <f aca="false">B50+C50+D50+E50</f>
        <v>68949</v>
      </c>
    </row>
    <row r="51" customFormat="false" ht="15" hidden="false" customHeight="false" outlineLevel="0" collapsed="false">
      <c r="A51" s="4" t="s">
        <v>159</v>
      </c>
      <c r="B51" s="5" t="n">
        <v>390</v>
      </c>
      <c r="C51" s="5" t="n">
        <v>2544</v>
      </c>
      <c r="D51" s="5" t="n">
        <v>20</v>
      </c>
      <c r="E51" s="5" t="n">
        <v>33881</v>
      </c>
      <c r="F51" s="5" t="n">
        <f aca="false">B51+C51</f>
        <v>2934</v>
      </c>
      <c r="G51" s="5" t="n">
        <f aca="false">B51+C51+D51+E51</f>
        <v>36835</v>
      </c>
    </row>
    <row r="52" customFormat="false" ht="15" hidden="false" customHeight="false" outlineLevel="0" collapsed="false">
      <c r="A52" s="4" t="s">
        <v>161</v>
      </c>
      <c r="B52" s="5" t="n">
        <v>187</v>
      </c>
      <c r="C52" s="5" t="n">
        <v>1240</v>
      </c>
      <c r="D52" s="5" t="n">
        <v>61</v>
      </c>
      <c r="E52" s="5" t="n">
        <v>55234</v>
      </c>
      <c r="F52" s="5" t="n">
        <f aca="false">B52+C52</f>
        <v>1427</v>
      </c>
      <c r="G52" s="5" t="n">
        <f aca="false">B52+C52+D52+E52</f>
        <v>56722</v>
      </c>
    </row>
    <row r="53" customFormat="false" ht="15" hidden="false" customHeight="false" outlineLevel="0" collapsed="false">
      <c r="A53" s="4" t="s">
        <v>163</v>
      </c>
      <c r="B53" s="5" t="n">
        <v>552</v>
      </c>
      <c r="C53" s="5" t="n">
        <v>237</v>
      </c>
      <c r="D53" s="5" t="n">
        <v>75</v>
      </c>
      <c r="E53" s="5" t="n">
        <v>27188</v>
      </c>
      <c r="F53" s="5" t="n">
        <f aca="false">B53+C53</f>
        <v>789</v>
      </c>
      <c r="G53" s="5" t="n">
        <f aca="false">B53+C53+D53+E53</f>
        <v>28052</v>
      </c>
    </row>
    <row r="54" customFormat="false" ht="15" hidden="false" customHeight="false" outlineLevel="0" collapsed="false">
      <c r="A54" s="4" t="s">
        <v>165</v>
      </c>
      <c r="B54" s="5" t="n">
        <v>561</v>
      </c>
      <c r="C54" s="5" t="n">
        <v>1580</v>
      </c>
      <c r="D54" s="5" t="n">
        <v>116</v>
      </c>
      <c r="E54" s="5" t="n">
        <v>41786</v>
      </c>
      <c r="F54" s="5" t="n">
        <f aca="false">B54+C54</f>
        <v>2141</v>
      </c>
      <c r="G54" s="5" t="n">
        <f aca="false">B54+C54+D54+E54</f>
        <v>44043</v>
      </c>
    </row>
    <row r="55" customFormat="false" ht="15" hidden="false" customHeight="false" outlineLevel="0" collapsed="false">
      <c r="A55" s="4" t="s">
        <v>167</v>
      </c>
      <c r="B55" s="5" t="n">
        <v>163</v>
      </c>
      <c r="C55" s="5" t="n">
        <v>2158</v>
      </c>
      <c r="D55" s="5" t="n">
        <v>32</v>
      </c>
      <c r="E55" s="5" t="n">
        <v>67770</v>
      </c>
      <c r="F55" s="5" t="n">
        <f aca="false">B55+C55</f>
        <v>2321</v>
      </c>
      <c r="G55" s="5" t="n">
        <f aca="false">B55+C55+D55+E55</f>
        <v>70123</v>
      </c>
    </row>
    <row r="56" customFormat="false" ht="15" hidden="false" customHeight="false" outlineLevel="0" collapsed="false">
      <c r="A56" s="4" t="s">
        <v>169</v>
      </c>
      <c r="B56" s="5" t="n">
        <v>542</v>
      </c>
      <c r="C56" s="5" t="n">
        <v>492</v>
      </c>
      <c r="D56" s="5" t="n">
        <v>81</v>
      </c>
      <c r="E56" s="5" t="n">
        <v>39354</v>
      </c>
      <c r="F56" s="5" t="n">
        <f aca="false">B56+C56</f>
        <v>1034</v>
      </c>
      <c r="G56" s="5" t="n">
        <f aca="false">B56+C56+D56+E56</f>
        <v>40469</v>
      </c>
    </row>
    <row r="57" customFormat="false" ht="15" hidden="false" customHeight="false" outlineLevel="0" collapsed="false">
      <c r="A57" s="4" t="s">
        <v>171</v>
      </c>
      <c r="B57" s="5" t="n">
        <v>480</v>
      </c>
      <c r="C57" s="5" t="n">
        <v>655</v>
      </c>
      <c r="D57" s="5" t="n">
        <v>24</v>
      </c>
      <c r="E57" s="5" t="n">
        <v>36438</v>
      </c>
      <c r="F57" s="5" t="n">
        <f aca="false">B57+C57</f>
        <v>1135</v>
      </c>
      <c r="G57" s="5" t="n">
        <f aca="false">B57+C57+D57+E57</f>
        <v>37597</v>
      </c>
    </row>
    <row r="58" customFormat="false" ht="15" hidden="false" customHeight="false" outlineLevel="0" collapsed="false">
      <c r="A58" s="4" t="s">
        <v>173</v>
      </c>
      <c r="B58" s="5" t="n">
        <v>121</v>
      </c>
      <c r="C58" s="5" t="n">
        <v>2651</v>
      </c>
      <c r="D58" s="5" t="n">
        <v>83</v>
      </c>
      <c r="E58" s="5" t="n">
        <v>45607</v>
      </c>
      <c r="F58" s="5" t="n">
        <f aca="false">B58+C58</f>
        <v>2772</v>
      </c>
      <c r="G58" s="5" t="n">
        <f aca="false">B58+C58+D58+E58</f>
        <v>48462</v>
      </c>
    </row>
    <row r="59" customFormat="false" ht="15" hidden="false" customHeight="false" outlineLevel="0" collapsed="false">
      <c r="A59" s="4" t="s">
        <v>175</v>
      </c>
      <c r="B59" s="5" t="n">
        <v>304</v>
      </c>
      <c r="C59" s="5" t="n">
        <v>1454</v>
      </c>
      <c r="D59" s="5" t="n">
        <v>58</v>
      </c>
      <c r="E59" s="5" t="n">
        <v>30790</v>
      </c>
      <c r="F59" s="5" t="n">
        <f aca="false">B59+C59</f>
        <v>1758</v>
      </c>
      <c r="G59" s="5" t="n">
        <f aca="false">B59+C59+D59+E59</f>
        <v>32606</v>
      </c>
    </row>
    <row r="60" customFormat="false" ht="15" hidden="false" customHeight="false" outlineLevel="0" collapsed="false">
      <c r="A60" s="4" t="s">
        <v>177</v>
      </c>
      <c r="B60" s="5" t="n">
        <v>181</v>
      </c>
      <c r="C60" s="5" t="n">
        <v>1822</v>
      </c>
      <c r="D60" s="5" t="n">
        <v>99</v>
      </c>
      <c r="E60" s="5" t="n">
        <v>40121</v>
      </c>
      <c r="F60" s="5" t="n">
        <f aca="false">B60+C60</f>
        <v>2003</v>
      </c>
      <c r="G60" s="5" t="n">
        <f aca="false">B60+C60+D60+E60</f>
        <v>42223</v>
      </c>
    </row>
    <row r="61" customFormat="false" ht="15" hidden="false" customHeight="false" outlineLevel="0" collapsed="false">
      <c r="A61" s="4" t="s">
        <v>179</v>
      </c>
      <c r="B61" s="5" t="n">
        <v>489</v>
      </c>
      <c r="C61" s="5" t="n">
        <v>1731</v>
      </c>
      <c r="D61" s="5" t="n">
        <v>44</v>
      </c>
      <c r="E61" s="5" t="n">
        <v>54115</v>
      </c>
      <c r="F61" s="5" t="n">
        <f aca="false">B61+C61</f>
        <v>2220</v>
      </c>
      <c r="G61" s="5" t="n">
        <f aca="false">B61+C61+D61+E61</f>
        <v>56379</v>
      </c>
    </row>
    <row r="62" customFormat="false" ht="15" hidden="false" customHeight="false" outlineLevel="0" collapsed="false">
      <c r="A62" s="4" t="s">
        <v>181</v>
      </c>
      <c r="B62" s="5" t="n">
        <v>62</v>
      </c>
      <c r="C62" s="5" t="n">
        <v>2186</v>
      </c>
      <c r="D62" s="5" t="n">
        <v>31</v>
      </c>
      <c r="E62" s="5" t="n">
        <v>85721</v>
      </c>
      <c r="F62" s="5" t="n">
        <f aca="false">B62+C62</f>
        <v>2248</v>
      </c>
      <c r="G62" s="5" t="n">
        <f aca="false">B62+C62+D62+E62</f>
        <v>88000</v>
      </c>
    </row>
    <row r="63" customFormat="false" ht="15" hidden="false" customHeight="false" outlineLevel="0" collapsed="false">
      <c r="A63" s="4" t="s">
        <v>183</v>
      </c>
      <c r="B63" s="5" t="n">
        <v>336</v>
      </c>
      <c r="C63" s="5" t="n">
        <v>2343</v>
      </c>
      <c r="D63" s="5" t="n">
        <v>36</v>
      </c>
      <c r="E63" s="5" t="n">
        <v>60014</v>
      </c>
      <c r="F63" s="5" t="n">
        <f aca="false">B63+C63</f>
        <v>2679</v>
      </c>
      <c r="G63" s="5" t="n">
        <f aca="false">B63+C63+D63+E63</f>
        <v>62729</v>
      </c>
    </row>
    <row r="64" customFormat="false" ht="15" hidden="false" customHeight="false" outlineLevel="0" collapsed="false">
      <c r="A64" s="4" t="s">
        <v>185</v>
      </c>
      <c r="B64" s="5" t="n">
        <v>480</v>
      </c>
      <c r="C64" s="5" t="n">
        <v>2614</v>
      </c>
      <c r="D64" s="5" t="n">
        <v>32</v>
      </c>
      <c r="E64" s="5" t="n">
        <v>73999</v>
      </c>
      <c r="F64" s="5" t="n">
        <f aca="false">B64+C64</f>
        <v>3094</v>
      </c>
      <c r="G64" s="5" t="n">
        <f aca="false">B64+C64+D64+E64</f>
        <v>77125</v>
      </c>
    </row>
    <row r="65" customFormat="false" ht="15" hidden="false" customHeight="false" outlineLevel="0" collapsed="false">
      <c r="A65" s="4" t="s">
        <v>187</v>
      </c>
      <c r="B65" s="5" t="n">
        <v>553</v>
      </c>
      <c r="C65" s="5" t="n">
        <v>2635</v>
      </c>
      <c r="D65" s="5" t="n">
        <v>98</v>
      </c>
      <c r="E65" s="5" t="n">
        <v>83844</v>
      </c>
      <c r="F65" s="5" t="n">
        <f aca="false">B65+C65</f>
        <v>3188</v>
      </c>
      <c r="G65" s="5" t="n">
        <f aca="false">B65+C65+D65+E65</f>
        <v>87130</v>
      </c>
    </row>
    <row r="66" customFormat="false" ht="15" hidden="false" customHeight="false" outlineLevel="0" collapsed="false">
      <c r="A66" s="4" t="s">
        <v>189</v>
      </c>
      <c r="B66" s="5" t="n">
        <v>552</v>
      </c>
      <c r="C66" s="5" t="n">
        <v>1641</v>
      </c>
      <c r="D66" s="5" t="n">
        <v>24</v>
      </c>
      <c r="E66" s="5" t="n">
        <v>56834</v>
      </c>
      <c r="F66" s="5" t="n">
        <f aca="false">B66+C66</f>
        <v>2193</v>
      </c>
      <c r="G66" s="5" t="n">
        <f aca="false">B66+C66+D66+E66</f>
        <v>59051</v>
      </c>
    </row>
    <row r="67" customFormat="false" ht="15" hidden="false" customHeight="false" outlineLevel="0" collapsed="false">
      <c r="A67" s="4" t="s">
        <v>191</v>
      </c>
      <c r="B67" s="5" t="n">
        <v>579</v>
      </c>
      <c r="C67" s="5" t="n">
        <v>2847</v>
      </c>
      <c r="D67" s="5" t="n">
        <v>49</v>
      </c>
      <c r="E67" s="5" t="n">
        <v>85941</v>
      </c>
      <c r="F67" s="5" t="n">
        <f aca="false">B67+C67</f>
        <v>3426</v>
      </c>
      <c r="G67" s="5" t="n">
        <f aca="false">B67+C67+D67+E67</f>
        <v>89416</v>
      </c>
    </row>
    <row r="68" customFormat="false" ht="15" hidden="false" customHeight="false" outlineLevel="0" collapsed="false">
      <c r="A68" s="4" t="s">
        <v>193</v>
      </c>
      <c r="B68" s="5" t="n">
        <v>294</v>
      </c>
      <c r="C68" s="5" t="n">
        <v>1750</v>
      </c>
      <c r="D68" s="5" t="n">
        <v>65</v>
      </c>
      <c r="E68" s="5" t="n">
        <v>26785</v>
      </c>
      <c r="F68" s="5" t="n">
        <f aca="false">B68+C68</f>
        <v>2044</v>
      </c>
      <c r="G68" s="5" t="n">
        <f aca="false">B68+C68+D68+E68</f>
        <v>28894</v>
      </c>
    </row>
    <row r="69" customFormat="false" ht="15" hidden="false" customHeight="false" outlineLevel="0" collapsed="false">
      <c r="A69" s="4" t="s">
        <v>195</v>
      </c>
      <c r="B69" s="5" t="n">
        <v>530</v>
      </c>
      <c r="C69" s="5" t="n">
        <v>462</v>
      </c>
      <c r="D69" s="5" t="n">
        <v>80</v>
      </c>
      <c r="E69" s="5" t="n">
        <v>68302</v>
      </c>
      <c r="F69" s="5" t="n">
        <f aca="false">B69+C69</f>
        <v>992</v>
      </c>
      <c r="G69" s="5" t="n">
        <f aca="false">B69+C69+D69+E69</f>
        <v>69374</v>
      </c>
    </row>
    <row r="70" customFormat="false" ht="15" hidden="false" customHeight="false" outlineLevel="0" collapsed="false">
      <c r="A70" s="4" t="s">
        <v>197</v>
      </c>
      <c r="B70" s="5" t="n">
        <v>226</v>
      </c>
      <c r="C70" s="5" t="n">
        <v>1008</v>
      </c>
      <c r="D70" s="5" t="n">
        <v>26</v>
      </c>
      <c r="E70" s="5" t="n">
        <v>83593</v>
      </c>
      <c r="F70" s="5" t="n">
        <f aca="false">B70+C70</f>
        <v>1234</v>
      </c>
      <c r="G70" s="5" t="n">
        <f aca="false">B70+C70+D70+E70</f>
        <v>84853</v>
      </c>
    </row>
    <row r="71" customFormat="false" ht="15" hidden="false" customHeight="false" outlineLevel="0" collapsed="false">
      <c r="A71" s="4" t="s">
        <v>199</v>
      </c>
      <c r="B71" s="5" t="n">
        <v>303</v>
      </c>
      <c r="C71" s="5" t="n">
        <v>1463</v>
      </c>
      <c r="D71" s="5" t="n">
        <v>94</v>
      </c>
      <c r="E71" s="5" t="n">
        <v>45927</v>
      </c>
      <c r="F71" s="5" t="n">
        <f aca="false">B71+C71</f>
        <v>1766</v>
      </c>
      <c r="G71" s="5" t="n">
        <f aca="false">B71+C71+D71+E71</f>
        <v>47787</v>
      </c>
    </row>
    <row r="72" customFormat="false" ht="15" hidden="false" customHeight="false" outlineLevel="0" collapsed="false">
      <c r="A72" s="4" t="s">
        <v>201</v>
      </c>
      <c r="B72" s="5" t="n">
        <v>62</v>
      </c>
      <c r="C72" s="5" t="n">
        <v>379</v>
      </c>
      <c r="D72" s="5" t="n">
        <v>80</v>
      </c>
      <c r="E72" s="5" t="n">
        <v>52462</v>
      </c>
      <c r="F72" s="5" t="n">
        <f aca="false">B72+C72</f>
        <v>441</v>
      </c>
      <c r="G72" s="5" t="n">
        <f aca="false">B72+C72+D72+E72</f>
        <v>52983</v>
      </c>
    </row>
    <row r="73" customFormat="false" ht="15" hidden="false" customHeight="false" outlineLevel="0" collapsed="false">
      <c r="A73" s="4" t="s">
        <v>203</v>
      </c>
      <c r="B73" s="5" t="n">
        <v>477</v>
      </c>
      <c r="C73" s="5" t="n">
        <v>1656</v>
      </c>
      <c r="D73" s="5" t="n">
        <v>40</v>
      </c>
      <c r="E73" s="5" t="n">
        <v>75477</v>
      </c>
      <c r="F73" s="5" t="n">
        <f aca="false">B73+C73</f>
        <v>2133</v>
      </c>
      <c r="G73" s="5" t="n">
        <f aca="false">B73+C73+D73+E73</f>
        <v>77650</v>
      </c>
    </row>
    <row r="74" customFormat="false" ht="15" hidden="false" customHeight="false" outlineLevel="0" collapsed="false">
      <c r="A74" s="4" t="s">
        <v>205</v>
      </c>
      <c r="B74" s="5" t="n">
        <v>357</v>
      </c>
      <c r="C74" s="5" t="n">
        <v>1630</v>
      </c>
      <c r="D74" s="5" t="n">
        <v>85</v>
      </c>
      <c r="E74" s="5" t="n">
        <v>20343</v>
      </c>
      <c r="F74" s="5" t="n">
        <f aca="false">B74+C74</f>
        <v>1987</v>
      </c>
      <c r="G74" s="5" t="n">
        <f aca="false">B74+C74+D74+E74</f>
        <v>22415</v>
      </c>
    </row>
    <row r="75" customFormat="false" ht="15" hidden="false" customHeight="false" outlineLevel="0" collapsed="false">
      <c r="A75" s="4" t="s">
        <v>207</v>
      </c>
      <c r="B75" s="5" t="n">
        <v>104</v>
      </c>
      <c r="C75" s="5" t="n">
        <v>721</v>
      </c>
      <c r="D75" s="5" t="n">
        <v>19</v>
      </c>
      <c r="E75" s="5" t="n">
        <v>50290</v>
      </c>
      <c r="F75" s="5" t="n">
        <f aca="false">B75+C75</f>
        <v>825</v>
      </c>
      <c r="G75" s="5" t="n">
        <f aca="false">B75+C75+D75+E75</f>
        <v>51134</v>
      </c>
    </row>
    <row r="76" customFormat="false" ht="15" hidden="false" customHeight="false" outlineLevel="0" collapsed="false">
      <c r="A76" s="4" t="s">
        <v>209</v>
      </c>
      <c r="B76" s="5" t="n">
        <v>491</v>
      </c>
      <c r="C76" s="5" t="n">
        <v>412</v>
      </c>
      <c r="D76" s="5" t="n">
        <v>91</v>
      </c>
      <c r="E76" s="5" t="n">
        <v>84599</v>
      </c>
      <c r="F76" s="5" t="n">
        <f aca="false">B76+C76</f>
        <v>903</v>
      </c>
      <c r="G76" s="5" t="n">
        <f aca="false">B76+C76+D76+E76</f>
        <v>85593</v>
      </c>
    </row>
    <row r="77" customFormat="false" ht="15" hidden="false" customHeight="false" outlineLevel="0" collapsed="false">
      <c r="A77" s="4" t="s">
        <v>211</v>
      </c>
      <c r="B77" s="5" t="n">
        <v>136</v>
      </c>
      <c r="C77" s="5" t="n">
        <v>517</v>
      </c>
      <c r="D77" s="5" t="n">
        <v>79</v>
      </c>
      <c r="E77" s="5" t="n">
        <v>59083</v>
      </c>
      <c r="F77" s="5" t="n">
        <f aca="false">B77+C77</f>
        <v>653</v>
      </c>
      <c r="G77" s="5" t="n">
        <f aca="false">B77+C77+D77+E77</f>
        <v>59815</v>
      </c>
    </row>
    <row r="78" customFormat="false" ht="15" hidden="false" customHeight="false" outlineLevel="0" collapsed="false">
      <c r="A78" s="4" t="s">
        <v>213</v>
      </c>
      <c r="B78" s="5" t="n">
        <v>573</v>
      </c>
      <c r="C78" s="5" t="n">
        <v>1155</v>
      </c>
      <c r="D78" s="5" t="n">
        <v>67</v>
      </c>
      <c r="E78" s="5" t="n">
        <v>20374</v>
      </c>
      <c r="F78" s="5" t="n">
        <f aca="false">B78+C78</f>
        <v>1728</v>
      </c>
      <c r="G78" s="5" t="n">
        <f aca="false">B78+C78+D78+E78</f>
        <v>22169</v>
      </c>
    </row>
    <row r="79" customFormat="false" ht="15" hidden="false" customHeight="false" outlineLevel="0" collapsed="false">
      <c r="A79" s="4" t="s">
        <v>215</v>
      </c>
      <c r="B79" s="5" t="n">
        <v>315</v>
      </c>
      <c r="C79" s="5" t="n">
        <v>2226</v>
      </c>
      <c r="D79" s="5" t="n">
        <v>8</v>
      </c>
      <c r="E79" s="5" t="n">
        <v>64085</v>
      </c>
      <c r="F79" s="5" t="n">
        <f aca="false">B79+C79</f>
        <v>2541</v>
      </c>
      <c r="G79" s="5" t="n">
        <f aca="false">B79+C79+D79+E79</f>
        <v>66634</v>
      </c>
    </row>
    <row r="80" customFormat="false" ht="15" hidden="false" customHeight="false" outlineLevel="0" collapsed="false">
      <c r="A80" s="4" t="s">
        <v>217</v>
      </c>
      <c r="B80" s="5" t="n">
        <v>86</v>
      </c>
      <c r="C80" s="5" t="n">
        <v>2583</v>
      </c>
      <c r="D80" s="5" t="n">
        <v>49</v>
      </c>
      <c r="E80" s="5" t="n">
        <v>23193</v>
      </c>
      <c r="F80" s="5" t="n">
        <f aca="false">B80+C80</f>
        <v>2669</v>
      </c>
      <c r="G80" s="5" t="n">
        <f aca="false">B80+C80+D80+E80</f>
        <v>25911</v>
      </c>
    </row>
    <row r="81" customFormat="false" ht="15" hidden="false" customHeight="false" outlineLevel="0" collapsed="false">
      <c r="A81" s="4" t="s">
        <v>219</v>
      </c>
      <c r="B81" s="5" t="n">
        <v>80</v>
      </c>
      <c r="C81" s="5" t="n">
        <v>368</v>
      </c>
      <c r="D81" s="5" t="n">
        <v>63</v>
      </c>
      <c r="E81" s="5" t="n">
        <v>67200</v>
      </c>
      <c r="F81" s="5" t="n">
        <f aca="false">B81+C81</f>
        <v>448</v>
      </c>
      <c r="G81" s="5" t="n">
        <f aca="false">B81+C81+D81+E81</f>
        <v>67711</v>
      </c>
    </row>
    <row r="82" customFormat="false" ht="15" hidden="false" customHeight="false" outlineLevel="0" collapsed="false">
      <c r="A82" s="4" t="s">
        <v>221</v>
      </c>
      <c r="B82" s="5" t="n">
        <v>418</v>
      </c>
      <c r="C82" s="5" t="n">
        <v>2998</v>
      </c>
      <c r="D82" s="5" t="n">
        <v>29</v>
      </c>
      <c r="E82" s="5" t="n">
        <v>55216</v>
      </c>
      <c r="F82" s="5" t="n">
        <f aca="false">B82+C82</f>
        <v>3416</v>
      </c>
      <c r="G82" s="5" t="n">
        <f aca="false">B82+C82+D82+E82</f>
        <v>58661</v>
      </c>
    </row>
    <row r="83" customFormat="false" ht="15" hidden="false" customHeight="false" outlineLevel="0" collapsed="false">
      <c r="A83" s="4" t="s">
        <v>223</v>
      </c>
      <c r="B83" s="5" t="n">
        <v>461</v>
      </c>
      <c r="C83" s="5" t="n">
        <v>2079</v>
      </c>
      <c r="D83" s="5" t="n">
        <v>104</v>
      </c>
      <c r="E83" s="5" t="n">
        <v>78672</v>
      </c>
      <c r="F83" s="5" t="n">
        <f aca="false">B83+C83</f>
        <v>2540</v>
      </c>
      <c r="G83" s="5" t="n">
        <f aca="false">B83+C83+D83+E83</f>
        <v>81316</v>
      </c>
    </row>
    <row r="84" customFormat="false" ht="15" hidden="false" customHeight="false" outlineLevel="0" collapsed="false">
      <c r="A84" s="4" t="s">
        <v>225</v>
      </c>
      <c r="B84" s="5" t="n">
        <v>145</v>
      </c>
      <c r="C84" s="5" t="n">
        <v>1531</v>
      </c>
      <c r="D84" s="5" t="n">
        <v>67</v>
      </c>
      <c r="E84" s="5" t="n">
        <v>37956</v>
      </c>
      <c r="F84" s="5" t="n">
        <f aca="false">B84+C84</f>
        <v>1676</v>
      </c>
      <c r="G84" s="5" t="n">
        <f aca="false">B84+C84+D84+E84</f>
        <v>39699</v>
      </c>
    </row>
    <row r="85" customFormat="false" ht="15" hidden="false" customHeight="false" outlineLevel="0" collapsed="false">
      <c r="A85" s="4" t="s">
        <v>227</v>
      </c>
      <c r="B85" s="5" t="n">
        <v>412</v>
      </c>
      <c r="C85" s="5" t="n">
        <v>2521</v>
      </c>
      <c r="D85" s="5" t="n">
        <v>85</v>
      </c>
      <c r="E85" s="5" t="n">
        <v>53477</v>
      </c>
      <c r="F85" s="5" t="n">
        <f aca="false">B85+C85</f>
        <v>2933</v>
      </c>
      <c r="G85" s="5" t="n">
        <f aca="false">B85+C85+D85+E85</f>
        <v>56495</v>
      </c>
    </row>
    <row r="86" customFormat="false" ht="15" hidden="false" customHeight="false" outlineLevel="0" collapsed="false">
      <c r="A86" s="4" t="s">
        <v>229</v>
      </c>
      <c r="B86" s="5" t="n">
        <v>271</v>
      </c>
      <c r="C86" s="5" t="n">
        <v>2163</v>
      </c>
      <c r="D86" s="5" t="n">
        <v>91</v>
      </c>
      <c r="E86" s="5" t="n">
        <v>50474</v>
      </c>
      <c r="F86" s="5" t="n">
        <f aca="false">B86+C86</f>
        <v>2434</v>
      </c>
      <c r="G86" s="5" t="n">
        <f aca="false">B86+C86+D86+E86</f>
        <v>52999</v>
      </c>
    </row>
    <row r="87" customFormat="false" ht="15" hidden="false" customHeight="false" outlineLevel="0" collapsed="false">
      <c r="A87" s="4" t="s">
        <v>231</v>
      </c>
      <c r="B87" s="5" t="n">
        <v>402</v>
      </c>
      <c r="C87" s="5" t="n">
        <v>397</v>
      </c>
      <c r="D87" s="5" t="n">
        <v>75</v>
      </c>
      <c r="E87" s="5" t="n">
        <v>82067</v>
      </c>
      <c r="F87" s="5" t="n">
        <f aca="false">B87+C87</f>
        <v>799</v>
      </c>
      <c r="G87" s="5" t="n">
        <f aca="false">B87+C87+D87+E87</f>
        <v>82941</v>
      </c>
    </row>
    <row r="88" customFormat="false" ht="15" hidden="false" customHeight="false" outlineLevel="0" collapsed="false">
      <c r="A88" s="4" t="s">
        <v>233</v>
      </c>
      <c r="B88" s="5" t="n">
        <v>521</v>
      </c>
      <c r="C88" s="5" t="n">
        <v>241</v>
      </c>
      <c r="D88" s="5" t="n">
        <v>100</v>
      </c>
      <c r="E88" s="5" t="n">
        <v>32091</v>
      </c>
      <c r="F88" s="5" t="n">
        <f aca="false">B88+C88</f>
        <v>762</v>
      </c>
      <c r="G88" s="5" t="n">
        <f aca="false">B88+C88+D88+E88</f>
        <v>32953</v>
      </c>
    </row>
    <row r="89" customFormat="false" ht="15" hidden="false" customHeight="false" outlineLevel="0" collapsed="false">
      <c r="A89" s="4" t="s">
        <v>235</v>
      </c>
      <c r="B89" s="5" t="n">
        <v>216</v>
      </c>
      <c r="C89" s="5" t="n">
        <v>2427</v>
      </c>
      <c r="D89" s="5" t="n">
        <v>14</v>
      </c>
      <c r="E89" s="5" t="n">
        <v>69739</v>
      </c>
      <c r="F89" s="5" t="n">
        <f aca="false">B89+C89</f>
        <v>2643</v>
      </c>
      <c r="G89" s="5" t="n">
        <f aca="false">B89+C89+D89+E89</f>
        <v>72396</v>
      </c>
    </row>
    <row r="90" customFormat="false" ht="15" hidden="false" customHeight="false" outlineLevel="0" collapsed="false">
      <c r="A90" s="4" t="s">
        <v>237</v>
      </c>
      <c r="B90" s="5" t="n">
        <v>582</v>
      </c>
      <c r="C90" s="5" t="n">
        <v>648</v>
      </c>
      <c r="D90" s="5" t="n">
        <v>89</v>
      </c>
      <c r="E90" s="5" t="n">
        <v>53475</v>
      </c>
      <c r="F90" s="5" t="n">
        <f aca="false">B90+C90</f>
        <v>1230</v>
      </c>
      <c r="G90" s="5" t="n">
        <f aca="false">B90+C90+D90+E90</f>
        <v>54794</v>
      </c>
    </row>
    <row r="91" customFormat="false" ht="15" hidden="false" customHeight="false" outlineLevel="0" collapsed="false">
      <c r="A91" s="4" t="s">
        <v>239</v>
      </c>
      <c r="B91" s="5" t="n">
        <v>599</v>
      </c>
      <c r="C91" s="5" t="n">
        <v>660</v>
      </c>
      <c r="D91" s="5" t="n">
        <v>80</v>
      </c>
      <c r="E91" s="5" t="n">
        <v>72338</v>
      </c>
      <c r="F91" s="5" t="n">
        <f aca="false">B91+C91</f>
        <v>1259</v>
      </c>
      <c r="G91" s="5" t="n">
        <f aca="false">B91+C91+D91+E91</f>
        <v>73677</v>
      </c>
    </row>
    <row r="92" customFormat="false" ht="15" hidden="false" customHeight="false" outlineLevel="0" collapsed="false">
      <c r="A92" s="4" t="s">
        <v>241</v>
      </c>
      <c r="B92" s="5" t="n">
        <v>565</v>
      </c>
      <c r="C92" s="5" t="n">
        <v>2197</v>
      </c>
      <c r="D92" s="5" t="n">
        <v>68</v>
      </c>
      <c r="E92" s="5" t="n">
        <v>58456</v>
      </c>
      <c r="F92" s="5" t="n">
        <f aca="false">B92+C92</f>
        <v>2762</v>
      </c>
      <c r="G92" s="5" t="n">
        <f aca="false">B92+C92+D92+E92</f>
        <v>61286</v>
      </c>
    </row>
    <row r="93" customFormat="false" ht="15" hidden="false" customHeight="false" outlineLevel="0" collapsed="false">
      <c r="A93" s="4" t="s">
        <v>243</v>
      </c>
      <c r="B93" s="5" t="n">
        <v>198</v>
      </c>
      <c r="C93" s="5" t="n">
        <v>1271</v>
      </c>
      <c r="D93" s="5" t="n">
        <v>77</v>
      </c>
      <c r="E93" s="5" t="n">
        <v>66257</v>
      </c>
      <c r="F93" s="5" t="n">
        <f aca="false">B93+C93</f>
        <v>1469</v>
      </c>
      <c r="G93" s="5" t="n">
        <f aca="false">B93+C93+D93+E93</f>
        <v>67803</v>
      </c>
    </row>
    <row r="94" customFormat="false" ht="15" hidden="false" customHeight="false" outlineLevel="0" collapsed="false">
      <c r="A94" s="4" t="s">
        <v>245</v>
      </c>
      <c r="B94" s="5" t="n">
        <v>107</v>
      </c>
      <c r="C94" s="5" t="n">
        <v>1665</v>
      </c>
      <c r="D94" s="5" t="n">
        <v>39</v>
      </c>
      <c r="E94" s="5" t="n">
        <v>54893</v>
      </c>
      <c r="F94" s="5" t="n">
        <f aca="false">B94+C94</f>
        <v>1772</v>
      </c>
      <c r="G94" s="5" t="n">
        <f aca="false">B94+C94+D94+E94</f>
        <v>56704</v>
      </c>
    </row>
    <row r="95" customFormat="false" ht="15" hidden="false" customHeight="false" outlineLevel="0" collapsed="false">
      <c r="A95" s="4" t="s">
        <v>247</v>
      </c>
      <c r="B95" s="5" t="n">
        <v>487</v>
      </c>
      <c r="C95" s="5" t="n">
        <v>1600</v>
      </c>
      <c r="D95" s="5" t="n">
        <v>26</v>
      </c>
      <c r="E95" s="5" t="n">
        <v>72846</v>
      </c>
      <c r="F95" s="5" t="n">
        <f aca="false">B95+C95</f>
        <v>2087</v>
      </c>
      <c r="G95" s="5" t="n">
        <f aca="false">B95+C95+D95+E95</f>
        <v>74959</v>
      </c>
    </row>
    <row r="96" customFormat="false" ht="15" hidden="false" customHeight="false" outlineLevel="0" collapsed="false">
      <c r="A96" s="4" t="s">
        <v>249</v>
      </c>
      <c r="B96" s="5" t="n">
        <v>460</v>
      </c>
      <c r="C96" s="5" t="n">
        <v>1756</v>
      </c>
      <c r="D96" s="5" t="n">
        <v>58</v>
      </c>
      <c r="E96" s="5" t="n">
        <v>64933</v>
      </c>
      <c r="F96" s="5" t="n">
        <f aca="false">B96+C96</f>
        <v>2216</v>
      </c>
      <c r="G96" s="5" t="n">
        <f aca="false">B96+C96+D96+E96</f>
        <v>67207</v>
      </c>
    </row>
    <row r="97" customFormat="false" ht="15" hidden="false" customHeight="false" outlineLevel="0" collapsed="false">
      <c r="A97" s="4" t="s">
        <v>251</v>
      </c>
      <c r="B97" s="5" t="n">
        <v>181</v>
      </c>
      <c r="C97" s="5" t="n">
        <v>500</v>
      </c>
      <c r="D97" s="5" t="n">
        <v>14</v>
      </c>
      <c r="E97" s="5" t="n">
        <v>42423</v>
      </c>
      <c r="F97" s="5" t="n">
        <f aca="false">B97+C97</f>
        <v>681</v>
      </c>
      <c r="G97" s="5" t="n">
        <f aca="false">B97+C97+D97+E97</f>
        <v>43118</v>
      </c>
    </row>
    <row r="98" customFormat="false" ht="15" hidden="false" customHeight="false" outlineLevel="0" collapsed="false">
      <c r="A98" s="4" t="s">
        <v>253</v>
      </c>
      <c r="B98" s="5" t="n">
        <v>597</v>
      </c>
      <c r="C98" s="5" t="n">
        <v>665</v>
      </c>
      <c r="D98" s="5" t="n">
        <v>18</v>
      </c>
      <c r="E98" s="5" t="n">
        <v>83284</v>
      </c>
      <c r="F98" s="5" t="n">
        <f aca="false">B98+C98</f>
        <v>1262</v>
      </c>
      <c r="G98" s="5" t="n">
        <f aca="false">B98+C98+D98+E98</f>
        <v>84564</v>
      </c>
    </row>
    <row r="99" customFormat="false" ht="15" hidden="false" customHeight="false" outlineLevel="0" collapsed="false">
      <c r="A99" s="4" t="s">
        <v>255</v>
      </c>
      <c r="B99" s="5" t="n">
        <v>197</v>
      </c>
      <c r="C99" s="5" t="n">
        <v>993</v>
      </c>
      <c r="D99" s="5" t="n">
        <v>42</v>
      </c>
      <c r="E99" s="5" t="n">
        <v>74862</v>
      </c>
      <c r="F99" s="5" t="n">
        <f aca="false">B99+C99</f>
        <v>1190</v>
      </c>
      <c r="G99" s="5" t="n">
        <f aca="false">B99+C99+D99+E99</f>
        <v>76094</v>
      </c>
    </row>
    <row r="100" customFormat="false" ht="15" hidden="false" customHeight="false" outlineLevel="0" collapsed="false">
      <c r="A100" s="4" t="s">
        <v>257</v>
      </c>
      <c r="B100" s="5" t="n">
        <v>101</v>
      </c>
      <c r="C100" s="5" t="n">
        <v>945</v>
      </c>
      <c r="D100" s="5" t="n">
        <v>62</v>
      </c>
      <c r="E100" s="5" t="n">
        <v>23301</v>
      </c>
      <c r="F100" s="5" t="n">
        <f aca="false">B100+C100</f>
        <v>1046</v>
      </c>
      <c r="G100" s="5" t="n">
        <f aca="false">B100+C100+D100+E100</f>
        <v>24409</v>
      </c>
    </row>
    <row r="101" customFormat="false" ht="15" hidden="false" customHeight="false" outlineLevel="0" collapsed="false">
      <c r="A101" s="4" t="s">
        <v>259</v>
      </c>
      <c r="B101" s="5" t="n">
        <v>319</v>
      </c>
      <c r="C101" s="5" t="n">
        <v>236</v>
      </c>
      <c r="D101" s="5" t="n">
        <v>18</v>
      </c>
      <c r="E101" s="5" t="n">
        <v>60227</v>
      </c>
      <c r="F101" s="5" t="n">
        <f aca="false">B101+C101</f>
        <v>555</v>
      </c>
      <c r="G101" s="5" t="n">
        <f aca="false">B101+C101+D101+E101</f>
        <v>60800</v>
      </c>
    </row>
    <row r="102" customFormat="false" ht="15" hidden="false" customHeight="false" outlineLevel="0" collapsed="false">
      <c r="A102" s="4" t="s">
        <v>261</v>
      </c>
      <c r="B102" s="5" t="n">
        <v>67</v>
      </c>
      <c r="C102" s="5" t="n">
        <v>1796</v>
      </c>
      <c r="D102" s="5" t="n">
        <v>22</v>
      </c>
      <c r="E102" s="5" t="n">
        <v>26925</v>
      </c>
      <c r="F102" s="5" t="n">
        <f aca="false">B102+C102</f>
        <v>1863</v>
      </c>
      <c r="G102" s="5" t="n">
        <f aca="false">B102+C102+D102+E102</f>
        <v>28810</v>
      </c>
    </row>
    <row r="103" customFormat="false" ht="15" hidden="false" customHeight="false" outlineLevel="0" collapsed="false">
      <c r="A103" s="4" t="s">
        <v>263</v>
      </c>
      <c r="B103" s="5" t="n">
        <v>277</v>
      </c>
      <c r="C103" s="5" t="n">
        <v>312</v>
      </c>
      <c r="D103" s="5" t="n">
        <v>73</v>
      </c>
      <c r="E103" s="5" t="n">
        <v>37063</v>
      </c>
      <c r="F103" s="5" t="n">
        <f aca="false">B103+C103</f>
        <v>589</v>
      </c>
      <c r="G103" s="5" t="n">
        <f aca="false">B103+C103+D103+E103</f>
        <v>37725</v>
      </c>
    </row>
    <row r="104" customFormat="false" ht="15" hidden="false" customHeight="false" outlineLevel="0" collapsed="false">
      <c r="A104" s="4" t="s">
        <v>265</v>
      </c>
      <c r="B104" s="5" t="n">
        <v>128</v>
      </c>
      <c r="C104" s="5" t="n">
        <v>268</v>
      </c>
      <c r="D104" s="5" t="n">
        <v>48</v>
      </c>
      <c r="E104" s="5" t="n">
        <v>46980</v>
      </c>
      <c r="F104" s="5" t="n">
        <f aca="false">B104+C104</f>
        <v>396</v>
      </c>
      <c r="G104" s="5" t="n">
        <f aca="false">B104+C104+D104+E104</f>
        <v>47424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3" t="s">
        <v>2</v>
      </c>
      <c r="B4" s="3" t="s">
        <v>277</v>
      </c>
      <c r="C4" s="3" t="s">
        <v>278</v>
      </c>
      <c r="D4" s="3" t="s">
        <v>279</v>
      </c>
      <c r="E4" s="3" t="s">
        <v>280</v>
      </c>
    </row>
    <row r="5" customFormat="false" ht="15" hidden="false" customHeight="false" outlineLevel="0" collapsed="false">
      <c r="A5" s="4" t="s">
        <v>10</v>
      </c>
      <c r="B5" s="6" t="n">
        <f aca="false">Confusion_Matrix!B5/(Confusion_Matrix!B5+Confusion_Matrix!C5)</f>
        <v>0.0749895266024298</v>
      </c>
      <c r="C5" s="6" t="n">
        <f aca="false">Confusion_Matrix!B5/(Confusion_Matrix!B5+Confusion_Matrix!D5)</f>
        <v>0.658088235294118</v>
      </c>
      <c r="D5" s="6" t="n">
        <f aca="false">2*B5*C5/(B5+C5)</f>
        <v>0.134637081609628</v>
      </c>
      <c r="E5" s="6" t="n">
        <f aca="false">Confusion_Matrix!E5/(Confusion_Matrix!E5+Confusion_Matrix!C5)</f>
        <v>0.914636975179773</v>
      </c>
    </row>
    <row r="6" customFormat="false" ht="15" hidden="false" customHeight="false" outlineLevel="0" collapsed="false">
      <c r="A6" s="4" t="s">
        <v>18</v>
      </c>
      <c r="B6" s="6" t="n">
        <f aca="false">Confusion_Matrix!B6/(Confusion_Matrix!B6+Confusion_Matrix!C6)</f>
        <v>0.21087160262418</v>
      </c>
      <c r="C6" s="6" t="n">
        <f aca="false">Confusion_Matrix!B6/(Confusion_Matrix!B6+Confusion_Matrix!D6)</f>
        <v>0.961538461538462</v>
      </c>
      <c r="D6" s="6" t="n">
        <f aca="false">2*B6*C6/(B6+C6)</f>
        <v>0.345887778631822</v>
      </c>
      <c r="E6" s="6" t="n">
        <f aca="false">Confusion_Matrix!E6/(Confusion_Matrix!E6+Confusion_Matrix!C6)</f>
        <v>0.990329064492046</v>
      </c>
    </row>
    <row r="7" customFormat="false" ht="15" hidden="false" customHeight="false" outlineLevel="0" collapsed="false">
      <c r="A7" s="4" t="s">
        <v>25</v>
      </c>
      <c r="B7" s="6" t="n">
        <f aca="false">Confusion_Matrix!B7/(Confusion_Matrix!B7+Confusion_Matrix!C7)</f>
        <v>0.0462351387054161</v>
      </c>
      <c r="C7" s="6" t="n">
        <f aca="false">Confusion_Matrix!B7/(Confusion_Matrix!B7+Confusion_Matrix!D7)</f>
        <v>0.96551724137931</v>
      </c>
      <c r="D7" s="6" t="n">
        <f aca="false">2*B7*C7/(B7+C7)</f>
        <v>0.0882445635045698</v>
      </c>
      <c r="E7" s="6" t="n">
        <f aca="false">Confusion_Matrix!E7/(Confusion_Matrix!E7+Confusion_Matrix!C7)</f>
        <v>0.878553406223717</v>
      </c>
    </row>
    <row r="8" customFormat="false" ht="15" hidden="false" customHeight="false" outlineLevel="0" collapsed="false">
      <c r="A8" s="4" t="s">
        <v>32</v>
      </c>
      <c r="B8" s="6" t="n">
        <f aca="false">Confusion_Matrix!B8/(Confusion_Matrix!B8+Confusion_Matrix!C8)</f>
        <v>0.318284424379233</v>
      </c>
      <c r="C8" s="6" t="n">
        <f aca="false">Confusion_Matrix!B8/(Confusion_Matrix!B8+Confusion_Matrix!D8)</f>
        <v>0.744063324538259</v>
      </c>
      <c r="D8" s="6" t="n">
        <f aca="false">2*B8*C8/(B8+C8)</f>
        <v>0.445849802371542</v>
      </c>
      <c r="E8" s="6" t="n">
        <f aca="false">Confusion_Matrix!E8/(Confusion_Matrix!E8+Confusion_Matrix!C8)</f>
        <v>0.983924626726639</v>
      </c>
    </row>
    <row r="9" customFormat="false" ht="15" hidden="false" customHeight="false" outlineLevel="0" collapsed="false">
      <c r="A9" s="4" t="s">
        <v>40</v>
      </c>
      <c r="B9" s="6" t="n">
        <f aca="false">Confusion_Matrix!B9/(Confusion_Matrix!B9+Confusion_Matrix!C9)</f>
        <v>0.163888103984176</v>
      </c>
      <c r="C9" s="6" t="n">
        <f aca="false">Confusion_Matrix!B9/(Confusion_Matrix!B9+Confusion_Matrix!D9)</f>
        <v>0.874811463046757</v>
      </c>
      <c r="D9" s="6" t="n">
        <f aca="false">2*B9*C9/(B9+C9)</f>
        <v>0.276059019514517</v>
      </c>
      <c r="E9" s="6" t="n">
        <f aca="false">Confusion_Matrix!E9/(Confusion_Matrix!E9+Confusion_Matrix!C9)</f>
        <v>0.956577248180324</v>
      </c>
    </row>
    <row r="10" customFormat="false" ht="15" hidden="false" customHeight="false" outlineLevel="0" collapsed="false">
      <c r="A10" s="4" t="s">
        <v>48</v>
      </c>
      <c r="B10" s="6" t="n">
        <f aca="false">Confusion_Matrix!B10/(Confusion_Matrix!B10+Confusion_Matrix!C10)</f>
        <v>0.225818592397441</v>
      </c>
      <c r="C10" s="6" t="n">
        <f aca="false">Confusion_Matrix!B10/(Confusion_Matrix!B10+Confusion_Matrix!D10)</f>
        <v>0.839160839160839</v>
      </c>
      <c r="D10" s="6" t="n">
        <f aca="false">2*B10*C10/(B10+C10)</f>
        <v>0.355871886120996</v>
      </c>
      <c r="E10" s="6" t="n">
        <f aca="false">Confusion_Matrix!E10/(Confusion_Matrix!E10+Confusion_Matrix!C10)</f>
        <v>0.964978292329957</v>
      </c>
    </row>
    <row r="11" customFormat="false" ht="15" hidden="false" customHeight="false" outlineLevel="0" collapsed="false">
      <c r="A11" s="4" t="s">
        <v>55</v>
      </c>
      <c r="B11" s="6" t="n">
        <f aca="false">Confusion_Matrix!B11/(Confusion_Matrix!B11+Confusion_Matrix!C11)</f>
        <v>0.101587301587302</v>
      </c>
      <c r="C11" s="6" t="n">
        <f aca="false">Confusion_Matrix!B11/(Confusion_Matrix!B11+Confusion_Matrix!D11)</f>
        <v>0.792569659442725</v>
      </c>
      <c r="D11" s="6" t="n">
        <f aca="false">2*B11*C11/(B11+C11)</f>
        <v>0.18009145269082</v>
      </c>
      <c r="E11" s="6" t="n">
        <f aca="false">Confusion_Matrix!E11/(Confusion_Matrix!E11+Confusion_Matrix!C11)</f>
        <v>0.947520919774692</v>
      </c>
    </row>
    <row r="12" customFormat="false" ht="15" hidden="false" customHeight="false" outlineLevel="0" collapsed="false">
      <c r="A12" s="4" t="s">
        <v>61</v>
      </c>
      <c r="B12" s="6" t="n">
        <f aca="false">Confusion_Matrix!B12/(Confusion_Matrix!B12+Confusion_Matrix!C12)</f>
        <v>0.307545973367153</v>
      </c>
      <c r="C12" s="6" t="n">
        <f aca="false">Confusion_Matrix!B12/(Confusion_Matrix!B12+Confusion_Matrix!D12)</f>
        <v>0.870736086175943</v>
      </c>
      <c r="D12" s="6" t="n">
        <f aca="false">2*B12*C12/(B12+C12)</f>
        <v>0.454545454545455</v>
      </c>
      <c r="E12" s="6" t="n">
        <f aca="false">Confusion_Matrix!E12/(Confusion_Matrix!E12+Confusion_Matrix!C12)</f>
        <v>0.974868242387977</v>
      </c>
    </row>
    <row r="13" customFormat="false" ht="15" hidden="false" customHeight="false" outlineLevel="0" collapsed="false">
      <c r="A13" s="4" t="s">
        <v>67</v>
      </c>
      <c r="B13" s="6" t="n">
        <f aca="false">Confusion_Matrix!B13/(Confusion_Matrix!B13+Confusion_Matrix!C13)</f>
        <v>0.463461538461539</v>
      </c>
      <c r="C13" s="6" t="n">
        <f aca="false">Confusion_Matrix!B13/(Confusion_Matrix!B13+Confusion_Matrix!D13)</f>
        <v>0.803333333333333</v>
      </c>
      <c r="D13" s="6" t="n">
        <f aca="false">2*B13*C13/(B13+C13)</f>
        <v>0.587804878048781</v>
      </c>
      <c r="E13" s="6" t="n">
        <f aca="false">Confusion_Matrix!E13/(Confusion_Matrix!E13+Confusion_Matrix!C13)</f>
        <v>0.992821212160198</v>
      </c>
    </row>
    <row r="14" customFormat="false" ht="15" hidden="false" customHeight="false" outlineLevel="0" collapsed="false">
      <c r="A14" s="4" t="s">
        <v>72</v>
      </c>
      <c r="B14" s="6" t="n">
        <f aca="false">Confusion_Matrix!B14/(Confusion_Matrix!B14+Confusion_Matrix!C14)</f>
        <v>0.154153709462461</v>
      </c>
      <c r="C14" s="6" t="n">
        <f aca="false">Confusion_Matrix!B14/(Confusion_Matrix!B14+Confusion_Matrix!D14)</f>
        <v>0.871859296482412</v>
      </c>
      <c r="D14" s="6" t="n">
        <f aca="false">2*B14*C14/(B14+C14)</f>
        <v>0.261985654964137</v>
      </c>
      <c r="E14" s="6" t="n">
        <f aca="false">Confusion_Matrix!E14/(Confusion_Matrix!E14+Confusion_Matrix!C14)</f>
        <v>0.973121770800983</v>
      </c>
    </row>
    <row r="15" customFormat="false" ht="15" hidden="false" customHeight="false" outlineLevel="0" collapsed="false">
      <c r="A15" s="4" t="s">
        <v>77</v>
      </c>
      <c r="B15" s="6" t="n">
        <f aca="false">Confusion_Matrix!B15/(Confusion_Matrix!B15+Confusion_Matrix!C15)</f>
        <v>0.389267461669506</v>
      </c>
      <c r="C15" s="6" t="n">
        <f aca="false">Confusion_Matrix!B15/(Confusion_Matrix!B15+Confusion_Matrix!D15)</f>
        <v>0.970276008492569</v>
      </c>
      <c r="D15" s="6" t="n">
        <f aca="false">2*B15*C15/(B15+C15)</f>
        <v>0.555623100303951</v>
      </c>
      <c r="E15" s="6" t="n">
        <f aca="false">Confusion_Matrix!E15/(Confusion_Matrix!E15+Confusion_Matrix!C15)</f>
        <v>0.991239431112849</v>
      </c>
    </row>
    <row r="16" customFormat="false" ht="15" hidden="false" customHeight="false" outlineLevel="0" collapsed="false">
      <c r="A16" s="4" t="s">
        <v>80</v>
      </c>
      <c r="B16" s="6" t="n">
        <f aca="false">Confusion_Matrix!B16/(Confusion_Matrix!B16+Confusion_Matrix!C16)</f>
        <v>0.0153736145870576</v>
      </c>
      <c r="C16" s="6" t="n">
        <f aca="false">Confusion_Matrix!B16/(Confusion_Matrix!B16+Confusion_Matrix!D16)</f>
        <v>0.826923076923077</v>
      </c>
      <c r="D16" s="6" t="n">
        <f aca="false">2*B16*C16/(B16+C16)</f>
        <v>0.0301860301860302</v>
      </c>
      <c r="E16" s="6" t="n">
        <f aca="false">Confusion_Matrix!E16/(Confusion_Matrix!E16+Confusion_Matrix!C16)</f>
        <v>0.914522486731432</v>
      </c>
    </row>
    <row r="17" customFormat="false" ht="15" hidden="false" customHeight="false" outlineLevel="0" collapsed="false">
      <c r="A17" s="4" t="s">
        <v>83</v>
      </c>
      <c r="B17" s="6" t="n">
        <f aca="false">Confusion_Matrix!B17/(Confusion_Matrix!B17+Confusion_Matrix!C17)</f>
        <v>0.210501193317422</v>
      </c>
      <c r="C17" s="6" t="n">
        <f aca="false">Confusion_Matrix!B17/(Confusion_Matrix!B17+Confusion_Matrix!D17)</f>
        <v>0.864705882352941</v>
      </c>
      <c r="D17" s="6" t="n">
        <f aca="false">2*B17*C17/(B17+C17)</f>
        <v>0.338579654510557</v>
      </c>
      <c r="E17" s="6" t="n">
        <f aca="false">Confusion_Matrix!E17/(Confusion_Matrix!E17+Confusion_Matrix!C17)</f>
        <v>0.961668597914253</v>
      </c>
    </row>
    <row r="18" customFormat="false" ht="15" hidden="false" customHeight="false" outlineLevel="0" collapsed="false">
      <c r="A18" s="4" t="s">
        <v>86</v>
      </c>
      <c r="B18" s="6" t="n">
        <f aca="false">Confusion_Matrix!B18/(Confusion_Matrix!B18+Confusion_Matrix!C18)</f>
        <v>0.198005698005698</v>
      </c>
      <c r="C18" s="6" t="n">
        <f aca="false">Confusion_Matrix!B18/(Confusion_Matrix!B18+Confusion_Matrix!D18)</f>
        <v>0.888178913738019</v>
      </c>
      <c r="D18" s="6" t="n">
        <f aca="false">2*B18*C18/(B18+C18)</f>
        <v>0.323820617355853</v>
      </c>
      <c r="E18" s="6" t="n">
        <f aca="false">Confusion_Matrix!E18/(Confusion_Matrix!E18+Confusion_Matrix!C18)</f>
        <v>0.963812247915026</v>
      </c>
    </row>
    <row r="19" customFormat="false" ht="15" hidden="false" customHeight="false" outlineLevel="0" collapsed="false">
      <c r="A19" s="4" t="s">
        <v>89</v>
      </c>
      <c r="B19" s="6" t="n">
        <f aca="false">Confusion_Matrix!B19/(Confusion_Matrix!B19+Confusion_Matrix!C19)</f>
        <v>0.217275155832591</v>
      </c>
      <c r="C19" s="6" t="n">
        <f aca="false">Confusion_Matrix!B19/(Confusion_Matrix!B19+Confusion_Matrix!D19)</f>
        <v>0.88245931283906</v>
      </c>
      <c r="D19" s="6" t="n">
        <f aca="false">2*B19*C19/(B19+C19)</f>
        <v>0.348695962843873</v>
      </c>
      <c r="E19" s="6" t="n">
        <f aca="false">Confusion_Matrix!E19/(Confusion_Matrix!E19+Confusion_Matrix!C19)</f>
        <v>0.961588043787008</v>
      </c>
    </row>
    <row r="20" customFormat="false" ht="15" hidden="false" customHeight="false" outlineLevel="0" collapsed="false">
      <c r="A20" s="4" t="s">
        <v>92</v>
      </c>
      <c r="B20" s="6" t="n">
        <f aca="false">Confusion_Matrix!B20/(Confusion_Matrix!B20+Confusion_Matrix!C20)</f>
        <v>0.147973609802074</v>
      </c>
      <c r="C20" s="6" t="n">
        <f aca="false">Confusion_Matrix!B20/(Confusion_Matrix!B20+Confusion_Matrix!D20)</f>
        <v>0.700892857142857</v>
      </c>
      <c r="D20" s="6" t="n">
        <f aca="false">2*B20*C20/(B20+C20)</f>
        <v>0.244357976653697</v>
      </c>
      <c r="E20" s="6" t="n">
        <f aca="false">Confusion_Matrix!E20/(Confusion_Matrix!E20+Confusion_Matrix!C20)</f>
        <v>0.984583638875151</v>
      </c>
    </row>
    <row r="21" customFormat="false" ht="15" hidden="false" customHeight="false" outlineLevel="0" collapsed="false">
      <c r="A21" s="4" t="s">
        <v>95</v>
      </c>
      <c r="B21" s="6" t="n">
        <f aca="false">Confusion_Matrix!B21/(Confusion_Matrix!B21+Confusion_Matrix!C21)</f>
        <v>0.0471836137527432</v>
      </c>
      <c r="C21" s="6" t="n">
        <f aca="false">Confusion_Matrix!B21/(Confusion_Matrix!B21+Confusion_Matrix!D21)</f>
        <v>0.921428571428571</v>
      </c>
      <c r="D21" s="6" t="n">
        <f aca="false">2*B21*C21/(B21+C21)</f>
        <v>0.0897703549060543</v>
      </c>
      <c r="E21" s="6" t="n">
        <f aca="false">Confusion_Matrix!E21/(Confusion_Matrix!E21+Confusion_Matrix!C21)</f>
        <v>0.937645115733538</v>
      </c>
    </row>
    <row r="22" customFormat="false" ht="15" hidden="false" customHeight="false" outlineLevel="0" collapsed="false">
      <c r="A22" s="4" t="s">
        <v>98</v>
      </c>
      <c r="B22" s="6" t="n">
        <f aca="false">Confusion_Matrix!B22/(Confusion_Matrix!B22+Confusion_Matrix!C22)</f>
        <v>0.633893919793014</v>
      </c>
      <c r="C22" s="6" t="n">
        <f aca="false">Confusion_Matrix!B22/(Confusion_Matrix!B22+Confusion_Matrix!D22)</f>
        <v>0.813953488372093</v>
      </c>
      <c r="D22" s="6" t="n">
        <f aca="false">2*B22*C22/(B22+C22)</f>
        <v>0.712727272727273</v>
      </c>
      <c r="E22" s="6" t="n">
        <f aca="false">Confusion_Matrix!E22/(Confusion_Matrix!E22+Confusion_Matrix!C22)</f>
        <v>0.99221286665566</v>
      </c>
    </row>
    <row r="23" customFormat="false" ht="15" hidden="false" customHeight="false" outlineLevel="0" collapsed="false">
      <c r="A23" s="4" t="s">
        <v>101</v>
      </c>
      <c r="B23" s="6" t="n">
        <f aca="false">Confusion_Matrix!B23/(Confusion_Matrix!B23+Confusion_Matrix!C23)</f>
        <v>0.343434343434343</v>
      </c>
      <c r="C23" s="6" t="n">
        <f aca="false">Confusion_Matrix!B23/(Confusion_Matrix!B23+Confusion_Matrix!D23)</f>
        <v>0.891129032258065</v>
      </c>
      <c r="D23" s="6" t="n">
        <f aca="false">2*B23*C23/(B23+C23)</f>
        <v>0.495793606281548</v>
      </c>
      <c r="E23" s="6" t="n">
        <f aca="false">Confusion_Matrix!E23/(Confusion_Matrix!E23+Confusion_Matrix!C23)</f>
        <v>0.988922100736779</v>
      </c>
    </row>
    <row r="24" customFormat="false" ht="15" hidden="false" customHeight="false" outlineLevel="0" collapsed="false">
      <c r="A24" s="4" t="s">
        <v>104</v>
      </c>
      <c r="B24" s="6" t="n">
        <f aca="false">Confusion_Matrix!B24/(Confusion_Matrix!B24+Confusion_Matrix!C24)</f>
        <v>0.057837384744342</v>
      </c>
      <c r="C24" s="6" t="n">
        <f aca="false">Confusion_Matrix!B24/(Confusion_Matrix!B24+Confusion_Matrix!D24)</f>
        <v>0.403508771929825</v>
      </c>
      <c r="D24" s="6" t="n">
        <f aca="false">2*B24*C24/(B24+C24)</f>
        <v>0.101173020527859</v>
      </c>
      <c r="E24" s="6" t="n">
        <f aca="false">Confusion_Matrix!E24/(Confusion_Matrix!E24+Confusion_Matrix!C24)</f>
        <v>0.950571679859279</v>
      </c>
    </row>
    <row r="25" customFormat="false" ht="15" hidden="false" customHeight="false" outlineLevel="0" collapsed="false">
      <c r="A25" s="4" t="s">
        <v>107</v>
      </c>
      <c r="B25" s="6" t="n">
        <f aca="false">Confusion_Matrix!B25/(Confusion_Matrix!B25+Confusion_Matrix!C25)</f>
        <v>0.0949177877428999</v>
      </c>
      <c r="C25" s="6" t="n">
        <f aca="false">Confusion_Matrix!B25/(Confusion_Matrix!B25+Confusion_Matrix!D25)</f>
        <v>0.80379746835443</v>
      </c>
      <c r="D25" s="6" t="n">
        <f aca="false">2*B25*C25/(B25+C25)</f>
        <v>0.169786096256685</v>
      </c>
      <c r="E25" s="6" t="n">
        <f aca="false">Confusion_Matrix!E25/(Confusion_Matrix!E25+Confusion_Matrix!C25)</f>
        <v>0.950334249272034</v>
      </c>
    </row>
    <row r="26" customFormat="false" ht="15" hidden="false" customHeight="false" outlineLevel="0" collapsed="false">
      <c r="A26" s="4" t="s">
        <v>109</v>
      </c>
      <c r="B26" s="6" t="n">
        <f aca="false">Confusion_Matrix!B26/(Confusion_Matrix!B26+Confusion_Matrix!C26)</f>
        <v>0.271727172717272</v>
      </c>
      <c r="C26" s="6" t="n">
        <f aca="false">Confusion_Matrix!B26/(Confusion_Matrix!B26+Confusion_Matrix!D26)</f>
        <v>0.767080745341615</v>
      </c>
      <c r="D26" s="6" t="n">
        <f aca="false">2*B26*C26/(B26+C26)</f>
        <v>0.401299756295695</v>
      </c>
      <c r="E26" s="6" t="n">
        <f aca="false">Confusion_Matrix!E26/(Confusion_Matrix!E26+Confusion_Matrix!C26)</f>
        <v>0.989585627536734</v>
      </c>
    </row>
    <row r="27" customFormat="false" ht="15" hidden="false" customHeight="false" outlineLevel="0" collapsed="false">
      <c r="A27" s="4" t="s">
        <v>111</v>
      </c>
      <c r="B27" s="6" t="n">
        <f aca="false">Confusion_Matrix!B27/(Confusion_Matrix!B27+Confusion_Matrix!C27)</f>
        <v>0.509466437177281</v>
      </c>
      <c r="C27" s="6" t="n">
        <f aca="false">Confusion_Matrix!B27/(Confusion_Matrix!B27+Confusion_Matrix!D27)</f>
        <v>0.870588235294118</v>
      </c>
      <c r="D27" s="6" t="n">
        <f aca="false">2*B27*C27/(B27+C27)</f>
        <v>0.642779587404995</v>
      </c>
      <c r="E27" s="6" t="n">
        <f aca="false">Confusion_Matrix!E27/(Confusion_Matrix!E27+Confusion_Matrix!C27)</f>
        <v>0.985144257082541</v>
      </c>
    </row>
    <row r="28" customFormat="false" ht="15" hidden="false" customHeight="false" outlineLevel="0" collapsed="false">
      <c r="A28" s="4" t="s">
        <v>113</v>
      </c>
      <c r="B28" s="6" t="n">
        <f aca="false">Confusion_Matrix!B28/(Confusion_Matrix!B28+Confusion_Matrix!C28)</f>
        <v>0.127988230967267</v>
      </c>
      <c r="C28" s="6" t="n">
        <f aca="false">Confusion_Matrix!B28/(Confusion_Matrix!B28+Confusion_Matrix!D28)</f>
        <v>0.789115646258503</v>
      </c>
      <c r="D28" s="6" t="n">
        <f aca="false">2*B28*C28/(B28+C28)</f>
        <v>0.220253164556962</v>
      </c>
      <c r="E28" s="6" t="n">
        <f aca="false">Confusion_Matrix!E28/(Confusion_Matrix!E28+Confusion_Matrix!C28)</f>
        <v>0.936617835757057</v>
      </c>
    </row>
    <row r="29" customFormat="false" ht="15" hidden="false" customHeight="false" outlineLevel="0" collapsed="false">
      <c r="A29" s="4" t="s">
        <v>115</v>
      </c>
      <c r="B29" s="6" t="n">
        <f aca="false">Confusion_Matrix!B29/(Confusion_Matrix!B29+Confusion_Matrix!C29)</f>
        <v>0.370659722222222</v>
      </c>
      <c r="C29" s="6" t="n">
        <f aca="false">Confusion_Matrix!B29/(Confusion_Matrix!B29+Confusion_Matrix!D29)</f>
        <v>0.90084388185654</v>
      </c>
      <c r="D29" s="6" t="n">
        <f aca="false">2*B29*C29/(B29+C29)</f>
        <v>0.525215252152522</v>
      </c>
      <c r="E29" s="6" t="n">
        <f aca="false">Confusion_Matrix!E29/(Confusion_Matrix!E29+Confusion_Matrix!C29)</f>
        <v>0.987749653610895</v>
      </c>
    </row>
    <row r="30" customFormat="false" ht="15" hidden="false" customHeight="false" outlineLevel="0" collapsed="false">
      <c r="A30" s="4" t="s">
        <v>117</v>
      </c>
      <c r="B30" s="6" t="n">
        <f aca="false">Confusion_Matrix!B30/(Confusion_Matrix!B30+Confusion_Matrix!C30)</f>
        <v>0.318394648829431</v>
      </c>
      <c r="C30" s="6" t="n">
        <f aca="false">Confusion_Matrix!B30/(Confusion_Matrix!B30+Confusion_Matrix!D30)</f>
        <v>0.820689655172414</v>
      </c>
      <c r="D30" s="6" t="n">
        <f aca="false">2*B30*C30/(B30+C30)</f>
        <v>0.458795180722892</v>
      </c>
      <c r="E30" s="6" t="n">
        <f aca="false">Confusion_Matrix!E30/(Confusion_Matrix!E30+Confusion_Matrix!C30)</f>
        <v>0.98048303997242</v>
      </c>
    </row>
    <row r="31" customFormat="false" ht="15" hidden="false" customHeight="false" outlineLevel="0" collapsed="false">
      <c r="A31" s="4" t="s">
        <v>119</v>
      </c>
      <c r="B31" s="6" t="n">
        <f aca="false">Confusion_Matrix!B31/(Confusion_Matrix!B31+Confusion_Matrix!C31)</f>
        <v>0.11389337641357</v>
      </c>
      <c r="C31" s="6" t="n">
        <f aca="false">Confusion_Matrix!B31/(Confusion_Matrix!B31+Confusion_Matrix!D31)</f>
        <v>0.6</v>
      </c>
      <c r="D31" s="6" t="n">
        <f aca="false">2*B31*C31/(B31+C31)</f>
        <v>0.191446028513238</v>
      </c>
      <c r="E31" s="6" t="n">
        <f aca="false">Confusion_Matrix!E31/(Confusion_Matrix!E31+Confusion_Matrix!C31)</f>
        <v>0.967952088810985</v>
      </c>
    </row>
    <row r="32" customFormat="false" ht="15" hidden="false" customHeight="false" outlineLevel="0" collapsed="false">
      <c r="A32" s="4" t="s">
        <v>121</v>
      </c>
      <c r="B32" s="6" t="n">
        <f aca="false">Confusion_Matrix!B32/(Confusion_Matrix!B32+Confusion_Matrix!C32)</f>
        <v>0.19489247311828</v>
      </c>
      <c r="C32" s="6" t="n">
        <f aca="false">Confusion_Matrix!B32/(Confusion_Matrix!B32+Confusion_Matrix!D32)</f>
        <v>0.633187772925764</v>
      </c>
      <c r="D32" s="6" t="n">
        <f aca="false">2*B32*C32/(B32+C32)</f>
        <v>0.298047276464543</v>
      </c>
      <c r="E32" s="6" t="n">
        <f aca="false">Confusion_Matrix!E32/(Confusion_Matrix!E32+Confusion_Matrix!C32)</f>
        <v>0.99202874442744</v>
      </c>
    </row>
    <row r="33" customFormat="false" ht="15" hidden="false" customHeight="false" outlineLevel="0" collapsed="false">
      <c r="A33" s="4" t="s">
        <v>123</v>
      </c>
      <c r="B33" s="6" t="n">
        <f aca="false">Confusion_Matrix!B33/(Confusion_Matrix!B33+Confusion_Matrix!C33)</f>
        <v>0.278152069297401</v>
      </c>
      <c r="C33" s="6" t="n">
        <f aca="false">Confusion_Matrix!B33/(Confusion_Matrix!B33+Confusion_Matrix!D33)</f>
        <v>0.842565597667639</v>
      </c>
      <c r="D33" s="6" t="n">
        <f aca="false">2*B33*C33/(B33+C33)</f>
        <v>0.418234442836469</v>
      </c>
      <c r="E33" s="6" t="n">
        <f aca="false">Confusion_Matrix!E33/(Confusion_Matrix!E33+Confusion_Matrix!C33)</f>
        <v>0.970116545472657</v>
      </c>
    </row>
    <row r="34" customFormat="false" ht="15" hidden="false" customHeight="false" outlineLevel="0" collapsed="false">
      <c r="A34" s="4" t="s">
        <v>125</v>
      </c>
      <c r="B34" s="6" t="n">
        <f aca="false">Confusion_Matrix!B34/(Confusion_Matrix!B34+Confusion_Matrix!C34)</f>
        <v>0.0877967973495307</v>
      </c>
      <c r="C34" s="6" t="n">
        <f aca="false">Confusion_Matrix!B34/(Confusion_Matrix!B34+Confusion_Matrix!D34)</f>
        <v>0.845744680851064</v>
      </c>
      <c r="D34" s="6" t="n">
        <f aca="false">2*B34*C34/(B34+C34)</f>
        <v>0.159079539769885</v>
      </c>
      <c r="E34" s="6" t="n">
        <f aca="false">Confusion_Matrix!E34/(Confusion_Matrix!E34+Confusion_Matrix!C34)</f>
        <v>0.974951100059135</v>
      </c>
    </row>
    <row r="35" customFormat="false" ht="15" hidden="false" customHeight="false" outlineLevel="0" collapsed="false">
      <c r="A35" s="4" t="s">
        <v>127</v>
      </c>
      <c r="B35" s="6" t="n">
        <f aca="false">Confusion_Matrix!B35/(Confusion_Matrix!B35+Confusion_Matrix!C35)</f>
        <v>0.180851063829787</v>
      </c>
      <c r="C35" s="6" t="n">
        <f aca="false">Confusion_Matrix!B35/(Confusion_Matrix!B35+Confusion_Matrix!D35)</f>
        <v>0.672316384180791</v>
      </c>
      <c r="D35" s="6" t="n">
        <f aca="false">2*B35*C35/(B35+C35)</f>
        <v>0.285029940119761</v>
      </c>
      <c r="E35" s="6" t="n">
        <f aca="false">Confusion_Matrix!E35/(Confusion_Matrix!E35+Confusion_Matrix!C35)</f>
        <v>0.981427562324484</v>
      </c>
    </row>
    <row r="36" customFormat="false" ht="15" hidden="false" customHeight="false" outlineLevel="0" collapsed="false">
      <c r="A36" s="4" t="s">
        <v>129</v>
      </c>
      <c r="B36" s="6" t="n">
        <f aca="false">Confusion_Matrix!B36/(Confusion_Matrix!B36+Confusion_Matrix!C36)</f>
        <v>0.0989905568218821</v>
      </c>
      <c r="C36" s="6" t="n">
        <f aca="false">Confusion_Matrix!B36/(Confusion_Matrix!B36+Confusion_Matrix!D36)</f>
        <v>0.781491002570694</v>
      </c>
      <c r="D36" s="6" t="n">
        <f aca="false">2*B36*C36/(B36+C36)</f>
        <v>0.175722543352601</v>
      </c>
      <c r="E36" s="6" t="n">
        <f aca="false">Confusion_Matrix!E36/(Confusion_Matrix!E36+Confusion_Matrix!C36)</f>
        <v>0.936760067650958</v>
      </c>
    </row>
    <row r="37" customFormat="false" ht="15" hidden="false" customHeight="false" outlineLevel="0" collapsed="false">
      <c r="A37" s="4" t="s">
        <v>131</v>
      </c>
      <c r="B37" s="6" t="n">
        <f aca="false">Confusion_Matrix!B37/(Confusion_Matrix!B37+Confusion_Matrix!C37)</f>
        <v>0.182015167930661</v>
      </c>
      <c r="C37" s="6" t="n">
        <f aca="false">Confusion_Matrix!B37/(Confusion_Matrix!B37+Confusion_Matrix!D37)</f>
        <v>0.942056074766355</v>
      </c>
      <c r="D37" s="6" t="n">
        <f aca="false">2*B37*C37/(B37+C37)</f>
        <v>0.305084745762712</v>
      </c>
      <c r="E37" s="6" t="n">
        <f aca="false">Confusion_Matrix!E37/(Confusion_Matrix!E37+Confusion_Matrix!C37)</f>
        <v>0.967513840681564</v>
      </c>
    </row>
    <row r="38" customFormat="false" ht="15" hidden="false" customHeight="false" outlineLevel="0" collapsed="false">
      <c r="A38" s="4" t="s">
        <v>133</v>
      </c>
      <c r="B38" s="6" t="n">
        <f aca="false">Confusion_Matrix!B38/(Confusion_Matrix!B38+Confusion_Matrix!C38)</f>
        <v>0.39963167587477</v>
      </c>
      <c r="C38" s="6" t="n">
        <f aca="false">Confusion_Matrix!B38/(Confusion_Matrix!B38+Confusion_Matrix!D38)</f>
        <v>0.791970802919708</v>
      </c>
      <c r="D38" s="6" t="n">
        <f aca="false">2*B38*C38/(B38+C38)</f>
        <v>0.531211750305997</v>
      </c>
      <c r="E38" s="6" t="n">
        <f aca="false">Confusion_Matrix!E38/(Confusion_Matrix!E38+Confusion_Matrix!C38)</f>
        <v>0.986106375724514</v>
      </c>
    </row>
    <row r="39" customFormat="false" ht="15" hidden="false" customHeight="false" outlineLevel="0" collapsed="false">
      <c r="A39" s="4" t="s">
        <v>135</v>
      </c>
      <c r="B39" s="6" t="n">
        <f aca="false">Confusion_Matrix!B39/(Confusion_Matrix!B39+Confusion_Matrix!C39)</f>
        <v>0.0831806522535727</v>
      </c>
      <c r="C39" s="6" t="n">
        <f aca="false">Confusion_Matrix!B39/(Confusion_Matrix!B39+Confusion_Matrix!D39)</f>
        <v>0.711598746081505</v>
      </c>
      <c r="D39" s="6" t="n">
        <f aca="false">2*B39*C39/(B39+C39)</f>
        <v>0.148950131233596</v>
      </c>
      <c r="E39" s="6" t="n">
        <f aca="false">Confusion_Matrix!E39/(Confusion_Matrix!E39+Confusion_Matrix!C39)</f>
        <v>0.95632669447887</v>
      </c>
    </row>
    <row r="40" customFormat="false" ht="15" hidden="false" customHeight="false" outlineLevel="0" collapsed="false">
      <c r="A40" s="4" t="s">
        <v>137</v>
      </c>
      <c r="B40" s="6" t="n">
        <f aca="false">Confusion_Matrix!B40/(Confusion_Matrix!B40+Confusion_Matrix!C40)</f>
        <v>0.178621659634318</v>
      </c>
      <c r="C40" s="6" t="n">
        <f aca="false">Confusion_Matrix!B40/(Confusion_Matrix!B40+Confusion_Matrix!D40)</f>
        <v>0.927007299270073</v>
      </c>
      <c r="D40" s="6" t="n">
        <f aca="false">2*B40*C40/(B40+C40)</f>
        <v>0.299528301886792</v>
      </c>
      <c r="E40" s="6" t="n">
        <f aca="false">Confusion_Matrix!E40/(Confusion_Matrix!E40+Confusion_Matrix!C40)</f>
        <v>0.958987323993118</v>
      </c>
    </row>
    <row r="41" customFormat="false" ht="15" hidden="false" customHeight="false" outlineLevel="0" collapsed="false">
      <c r="A41" s="4" t="s">
        <v>139</v>
      </c>
      <c r="B41" s="6" t="n">
        <f aca="false">Confusion_Matrix!B41/(Confusion_Matrix!B41+Confusion_Matrix!C41)</f>
        <v>0.17455896007428</v>
      </c>
      <c r="C41" s="6" t="n">
        <f aca="false">Confusion_Matrix!B41/(Confusion_Matrix!B41+Confusion_Matrix!D41)</f>
        <v>0.850678733031674</v>
      </c>
      <c r="D41" s="6" t="n">
        <f aca="false">2*B41*C41/(B41+C41)</f>
        <v>0.289676425269646</v>
      </c>
      <c r="E41" s="6" t="n">
        <f aca="false">Confusion_Matrix!E41/(Confusion_Matrix!E41+Confusion_Matrix!C41)</f>
        <v>0.954593048497076</v>
      </c>
    </row>
    <row r="42" customFormat="false" ht="15" hidden="false" customHeight="false" outlineLevel="0" collapsed="false">
      <c r="A42" s="4" t="s">
        <v>141</v>
      </c>
      <c r="B42" s="6" t="n">
        <f aca="false">Confusion_Matrix!B42/(Confusion_Matrix!B42+Confusion_Matrix!C42)</f>
        <v>0.548795944233207</v>
      </c>
      <c r="C42" s="6" t="n">
        <f aca="false">Confusion_Matrix!B42/(Confusion_Matrix!B42+Confusion_Matrix!D42)</f>
        <v>0.834296724470135</v>
      </c>
      <c r="D42" s="6" t="n">
        <f aca="false">2*B42*C42/(B42+C42)</f>
        <v>0.662079510703364</v>
      </c>
      <c r="E42" s="6" t="n">
        <f aca="false">Confusion_Matrix!E42/(Confusion_Matrix!E42+Confusion_Matrix!C42)</f>
        <v>0.991472849649093</v>
      </c>
    </row>
    <row r="43" customFormat="false" ht="15" hidden="false" customHeight="false" outlineLevel="0" collapsed="false">
      <c r="A43" s="4" t="s">
        <v>143</v>
      </c>
      <c r="B43" s="6" t="n">
        <f aca="false">Confusion_Matrix!B43/(Confusion_Matrix!B43+Confusion_Matrix!C43)</f>
        <v>0.141447368421053</v>
      </c>
      <c r="C43" s="6" t="n">
        <f aca="false">Confusion_Matrix!B43/(Confusion_Matrix!B43+Confusion_Matrix!D43)</f>
        <v>0.848126232741617</v>
      </c>
      <c r="D43" s="6" t="n">
        <f aca="false">2*B43*C43/(B43+C43)</f>
        <v>0.242458415562447</v>
      </c>
      <c r="E43" s="6" t="n">
        <f aca="false">Confusion_Matrix!E43/(Confusion_Matrix!E43+Confusion_Matrix!C43)</f>
        <v>0.964613048429958</v>
      </c>
    </row>
    <row r="44" customFormat="false" ht="15" hidden="false" customHeight="false" outlineLevel="0" collapsed="false">
      <c r="A44" s="4" t="s">
        <v>145</v>
      </c>
      <c r="B44" s="6" t="n">
        <f aca="false">Confusion_Matrix!B44/(Confusion_Matrix!B44+Confusion_Matrix!C44)</f>
        <v>0.194921875</v>
      </c>
      <c r="C44" s="6" t="n">
        <f aca="false">Confusion_Matrix!B44/(Confusion_Matrix!B44+Confusion_Matrix!D44)</f>
        <v>0.965183752417795</v>
      </c>
      <c r="D44" s="6" t="n">
        <f aca="false">2*B44*C44/(B44+C44)</f>
        <v>0.324341891452714</v>
      </c>
      <c r="E44" s="6" t="n">
        <f aca="false">Confusion_Matrix!E44/(Confusion_Matrix!E44+Confusion_Matrix!C44)</f>
        <v>0.941241874786179</v>
      </c>
    </row>
    <row r="45" customFormat="false" ht="15" hidden="false" customHeight="false" outlineLevel="0" collapsed="false">
      <c r="A45" s="4" t="s">
        <v>147</v>
      </c>
      <c r="B45" s="6" t="n">
        <f aca="false">Confusion_Matrix!B45/(Confusion_Matrix!B45+Confusion_Matrix!C45)</f>
        <v>0.183323477232407</v>
      </c>
      <c r="C45" s="6" t="n">
        <f aca="false">Confusion_Matrix!B45/(Confusion_Matrix!B45+Confusion_Matrix!D45)</f>
        <v>0.81151832460733</v>
      </c>
      <c r="D45" s="6" t="n">
        <f aca="false">2*B45*C45/(B45+C45)</f>
        <v>0.2990834539315</v>
      </c>
      <c r="E45" s="6" t="n">
        <f aca="false">Confusion_Matrix!E45/(Confusion_Matrix!E45+Confusion_Matrix!C45)</f>
        <v>0.966789312940384</v>
      </c>
    </row>
    <row r="46" customFormat="false" ht="15" hidden="false" customHeight="false" outlineLevel="0" collapsed="false">
      <c r="A46" s="4" t="s">
        <v>149</v>
      </c>
      <c r="B46" s="6" t="n">
        <f aca="false">Confusion_Matrix!B46/(Confusion_Matrix!B46+Confusion_Matrix!C46)</f>
        <v>0.575888051668461</v>
      </c>
      <c r="C46" s="6" t="n">
        <f aca="false">Confusion_Matrix!B46/(Confusion_Matrix!B46+Confusion_Matrix!D46)</f>
        <v>0.841194968553459</v>
      </c>
      <c r="D46" s="6" t="n">
        <f aca="false">2*B46*C46/(B46+C46)</f>
        <v>0.68370607028754</v>
      </c>
      <c r="E46" s="6" t="n">
        <f aca="false">Confusion_Matrix!E46/(Confusion_Matrix!E46+Confusion_Matrix!C46)</f>
        <v>0.988389910419613</v>
      </c>
    </row>
    <row r="47" customFormat="false" ht="15" hidden="false" customHeight="false" outlineLevel="0" collapsed="false">
      <c r="A47" s="4" t="s">
        <v>151</v>
      </c>
      <c r="B47" s="6" t="n">
        <f aca="false">Confusion_Matrix!B47/(Confusion_Matrix!B47+Confusion_Matrix!C47)</f>
        <v>0.301094890510949</v>
      </c>
      <c r="C47" s="6" t="n">
        <f aca="false">Confusion_Matrix!B47/(Confusion_Matrix!B47+Confusion_Matrix!D47)</f>
        <v>0.948275862068966</v>
      </c>
      <c r="D47" s="6" t="n">
        <f aca="false">2*B47*C47/(B47+C47)</f>
        <v>0.457063711911357</v>
      </c>
      <c r="E47" s="6" t="n">
        <f aca="false">Confusion_Matrix!E47/(Confusion_Matrix!E47+Confusion_Matrix!C47)</f>
        <v>0.966965671899258</v>
      </c>
    </row>
    <row r="48" customFormat="false" ht="15" hidden="false" customHeight="false" outlineLevel="0" collapsed="false">
      <c r="A48" s="4" t="s">
        <v>153</v>
      </c>
      <c r="B48" s="6" t="n">
        <f aca="false">Confusion_Matrix!B48/(Confusion_Matrix!B48+Confusion_Matrix!C48)</f>
        <v>0.249315068493151</v>
      </c>
      <c r="C48" s="6" t="n">
        <f aca="false">Confusion_Matrix!B48/(Confusion_Matrix!B48+Confusion_Matrix!D48)</f>
        <v>0.716535433070866</v>
      </c>
      <c r="D48" s="6" t="n">
        <f aca="false">2*B48*C48/(B48+C48)</f>
        <v>0.369918699186992</v>
      </c>
      <c r="E48" s="6" t="n">
        <f aca="false">Confusion_Matrix!E48/(Confusion_Matrix!E48+Confusion_Matrix!C48)</f>
        <v>0.99131784910802</v>
      </c>
    </row>
    <row r="49" customFormat="false" ht="15" hidden="false" customHeight="false" outlineLevel="0" collapsed="false">
      <c r="A49" s="4" t="s">
        <v>155</v>
      </c>
      <c r="B49" s="6" t="n">
        <f aca="false">Confusion_Matrix!B49/(Confusion_Matrix!B49+Confusion_Matrix!C49)</f>
        <v>0.208552400981423</v>
      </c>
      <c r="C49" s="6" t="n">
        <f aca="false">Confusion_Matrix!B49/(Confusion_Matrix!B49+Confusion_Matrix!D49)</f>
        <v>0.886736214605067</v>
      </c>
      <c r="D49" s="6" t="n">
        <f aca="false">2*B49*C49/(B49+C49)</f>
        <v>0.337684449489217</v>
      </c>
      <c r="E49" s="6" t="n">
        <f aca="false">Confusion_Matrix!E49/(Confusion_Matrix!E49+Confusion_Matrix!C49)</f>
        <v>0.969996545217784</v>
      </c>
    </row>
    <row r="50" customFormat="false" ht="15" hidden="false" customHeight="false" outlineLevel="0" collapsed="false">
      <c r="A50" s="4" t="s">
        <v>157</v>
      </c>
      <c r="B50" s="6" t="n">
        <f aca="false">Confusion_Matrix!B50/(Confusion_Matrix!B50+Confusion_Matrix!C50)</f>
        <v>0.533585619678335</v>
      </c>
      <c r="C50" s="6" t="n">
        <f aca="false">Confusion_Matrix!B50/(Confusion_Matrix!B50+Confusion_Matrix!D50)</f>
        <v>0.909677419354839</v>
      </c>
      <c r="D50" s="6" t="n">
        <f aca="false">2*B50*C50/(B50+C50)</f>
        <v>0.67262969588551</v>
      </c>
      <c r="E50" s="6" t="n">
        <f aca="false">Confusion_Matrix!E50/(Confusion_Matrix!E50+Confusion_Matrix!C50)</f>
        <v>0.992784908311259</v>
      </c>
    </row>
    <row r="51" customFormat="false" ht="15" hidden="false" customHeight="false" outlineLevel="0" collapsed="false">
      <c r="A51" s="4" t="s">
        <v>159</v>
      </c>
      <c r="B51" s="6" t="n">
        <f aca="false">Confusion_Matrix!B51/(Confusion_Matrix!B51+Confusion_Matrix!C51)</f>
        <v>0.132924335378323</v>
      </c>
      <c r="C51" s="6" t="n">
        <f aca="false">Confusion_Matrix!B51/(Confusion_Matrix!B51+Confusion_Matrix!D51)</f>
        <v>0.951219512195122</v>
      </c>
      <c r="D51" s="6" t="n">
        <f aca="false">2*B51*C51/(B51+C51)</f>
        <v>0.233253588516746</v>
      </c>
      <c r="E51" s="6" t="n">
        <f aca="false">Confusion_Matrix!E51/(Confusion_Matrix!E51+Confusion_Matrix!C51)</f>
        <v>0.93015785861359</v>
      </c>
    </row>
    <row r="52" customFormat="false" ht="15" hidden="false" customHeight="false" outlineLevel="0" collapsed="false">
      <c r="A52" s="4" t="s">
        <v>161</v>
      </c>
      <c r="B52" s="6" t="n">
        <f aca="false">Confusion_Matrix!B52/(Confusion_Matrix!B52+Confusion_Matrix!C52)</f>
        <v>0.13104414856342</v>
      </c>
      <c r="C52" s="6" t="n">
        <f aca="false">Confusion_Matrix!B52/(Confusion_Matrix!B52+Confusion_Matrix!D52)</f>
        <v>0.754032258064516</v>
      </c>
      <c r="D52" s="6" t="n">
        <f aca="false">2*B52*C52/(B52+C52)</f>
        <v>0.223283582089552</v>
      </c>
      <c r="E52" s="6" t="n">
        <f aca="false">Confusion_Matrix!E52/(Confusion_Matrix!E52+Confusion_Matrix!C52)</f>
        <v>0.978042993235825</v>
      </c>
    </row>
    <row r="53" customFormat="false" ht="15" hidden="false" customHeight="false" outlineLevel="0" collapsed="false">
      <c r="A53" s="4" t="s">
        <v>163</v>
      </c>
      <c r="B53" s="6" t="n">
        <f aca="false">Confusion_Matrix!B53/(Confusion_Matrix!B53+Confusion_Matrix!C53)</f>
        <v>0.699619771863118</v>
      </c>
      <c r="C53" s="6" t="n">
        <f aca="false">Confusion_Matrix!B53/(Confusion_Matrix!B53+Confusion_Matrix!D53)</f>
        <v>0.880382775119617</v>
      </c>
      <c r="D53" s="6" t="n">
        <f aca="false">2*B53*C53/(B53+C53)</f>
        <v>0.779661016949153</v>
      </c>
      <c r="E53" s="6" t="n">
        <f aca="false">Confusion_Matrix!E53/(Confusion_Matrix!E53+Confusion_Matrix!C53)</f>
        <v>0.991358249772106</v>
      </c>
    </row>
    <row r="54" customFormat="false" ht="15" hidden="false" customHeight="false" outlineLevel="0" collapsed="false">
      <c r="A54" s="4" t="s">
        <v>165</v>
      </c>
      <c r="B54" s="6" t="n">
        <f aca="false">Confusion_Matrix!B54/(Confusion_Matrix!B54+Confusion_Matrix!C54)</f>
        <v>0.262027090144792</v>
      </c>
      <c r="C54" s="6" t="n">
        <f aca="false">Confusion_Matrix!B54/(Confusion_Matrix!B54+Confusion_Matrix!D54)</f>
        <v>0.828655834564254</v>
      </c>
      <c r="D54" s="6" t="n">
        <f aca="false">2*B54*C54/(B54+C54)</f>
        <v>0.398154719659333</v>
      </c>
      <c r="E54" s="6" t="n">
        <f aca="false">Confusion_Matrix!E54/(Confusion_Matrix!E54+Confusion_Matrix!C54)</f>
        <v>0.963565927224093</v>
      </c>
    </row>
    <row r="55" customFormat="false" ht="15" hidden="false" customHeight="false" outlineLevel="0" collapsed="false">
      <c r="A55" s="4" t="s">
        <v>167</v>
      </c>
      <c r="B55" s="6" t="n">
        <f aca="false">Confusion_Matrix!B55/(Confusion_Matrix!B55+Confusion_Matrix!C55)</f>
        <v>0.0702283498492029</v>
      </c>
      <c r="C55" s="6" t="n">
        <f aca="false">Confusion_Matrix!B55/(Confusion_Matrix!B55+Confusion_Matrix!D55)</f>
        <v>0.835897435897436</v>
      </c>
      <c r="D55" s="6" t="n">
        <f aca="false">2*B55*C55/(B55+C55)</f>
        <v>0.129570747217806</v>
      </c>
      <c r="E55" s="6" t="n">
        <f aca="false">Confusion_Matrix!E55/(Confusion_Matrix!E55+Confusion_Matrix!C55)</f>
        <v>0.969139686534721</v>
      </c>
    </row>
    <row r="56" customFormat="false" ht="15" hidden="false" customHeight="false" outlineLevel="0" collapsed="false">
      <c r="A56" s="4" t="s">
        <v>169</v>
      </c>
      <c r="B56" s="6" t="n">
        <f aca="false">Confusion_Matrix!B56/(Confusion_Matrix!B56+Confusion_Matrix!C56)</f>
        <v>0.524177949709865</v>
      </c>
      <c r="C56" s="6" t="n">
        <f aca="false">Confusion_Matrix!B56/(Confusion_Matrix!B56+Confusion_Matrix!D56)</f>
        <v>0.869983948635634</v>
      </c>
      <c r="D56" s="6" t="n">
        <f aca="false">2*B56*C56/(B56+C56)</f>
        <v>0.654194327097164</v>
      </c>
      <c r="E56" s="6" t="n">
        <f aca="false">Confusion_Matrix!E56/(Confusion_Matrix!E56+Confusion_Matrix!C56)</f>
        <v>0.987652461978618</v>
      </c>
    </row>
    <row r="57" customFormat="false" ht="15" hidden="false" customHeight="false" outlineLevel="0" collapsed="false">
      <c r="A57" s="4" t="s">
        <v>171</v>
      </c>
      <c r="B57" s="6" t="n">
        <f aca="false">Confusion_Matrix!B57/(Confusion_Matrix!B57+Confusion_Matrix!C57)</f>
        <v>0.422907488986784</v>
      </c>
      <c r="C57" s="6" t="n">
        <f aca="false">Confusion_Matrix!B57/(Confusion_Matrix!B57+Confusion_Matrix!D57)</f>
        <v>0.952380952380952</v>
      </c>
      <c r="D57" s="6" t="n">
        <f aca="false">2*B57*C57/(B57+C57)</f>
        <v>0.585723001830384</v>
      </c>
      <c r="E57" s="6" t="n">
        <f aca="false">Confusion_Matrix!E57/(Confusion_Matrix!E57+Confusion_Matrix!C57)</f>
        <v>0.982341681718923</v>
      </c>
    </row>
    <row r="58" customFormat="false" ht="15" hidden="false" customHeight="false" outlineLevel="0" collapsed="false">
      <c r="A58" s="4" t="s">
        <v>173</v>
      </c>
      <c r="B58" s="6" t="n">
        <f aca="false">Confusion_Matrix!B58/(Confusion_Matrix!B58+Confusion_Matrix!C58)</f>
        <v>0.0436507936507937</v>
      </c>
      <c r="C58" s="6" t="n">
        <f aca="false">Confusion_Matrix!B58/(Confusion_Matrix!B58+Confusion_Matrix!D58)</f>
        <v>0.593137254901961</v>
      </c>
      <c r="D58" s="6" t="n">
        <f aca="false">2*B58*C58/(B58+C58)</f>
        <v>0.0813172043010753</v>
      </c>
      <c r="E58" s="6" t="n">
        <f aca="false">Confusion_Matrix!E58/(Confusion_Matrix!E58+Confusion_Matrix!C58)</f>
        <v>0.94506610302955</v>
      </c>
    </row>
    <row r="59" customFormat="false" ht="15" hidden="false" customHeight="false" outlineLevel="0" collapsed="false">
      <c r="A59" s="4" t="s">
        <v>175</v>
      </c>
      <c r="B59" s="6" t="n">
        <f aca="false">Confusion_Matrix!B59/(Confusion_Matrix!B59+Confusion_Matrix!C59)</f>
        <v>0.17292377701934</v>
      </c>
      <c r="C59" s="6" t="n">
        <f aca="false">Confusion_Matrix!B59/(Confusion_Matrix!B59+Confusion_Matrix!D59)</f>
        <v>0.839779005524862</v>
      </c>
      <c r="D59" s="6" t="n">
        <f aca="false">2*B59*C59/(B59+C59)</f>
        <v>0.286792452830189</v>
      </c>
      <c r="E59" s="6" t="n">
        <f aca="false">Confusion_Matrix!E59/(Confusion_Matrix!E59+Confusion_Matrix!C59)</f>
        <v>0.954906339163876</v>
      </c>
    </row>
    <row r="60" customFormat="false" ht="15" hidden="false" customHeight="false" outlineLevel="0" collapsed="false">
      <c r="A60" s="4" t="s">
        <v>177</v>
      </c>
      <c r="B60" s="6" t="n">
        <f aca="false">Confusion_Matrix!B60/(Confusion_Matrix!B60+Confusion_Matrix!C60)</f>
        <v>0.09036445332002</v>
      </c>
      <c r="C60" s="6" t="n">
        <f aca="false">Confusion_Matrix!B60/(Confusion_Matrix!B60+Confusion_Matrix!D60)</f>
        <v>0.646428571428572</v>
      </c>
      <c r="D60" s="6" t="n">
        <f aca="false">2*B60*C60/(B60+C60)</f>
        <v>0.15856329391152</v>
      </c>
      <c r="E60" s="6" t="n">
        <f aca="false">Confusion_Matrix!E60/(Confusion_Matrix!E60+Confusion_Matrix!C60)</f>
        <v>0.956560093460172</v>
      </c>
    </row>
    <row r="61" customFormat="false" ht="15" hidden="false" customHeight="false" outlineLevel="0" collapsed="false">
      <c r="A61" s="4" t="s">
        <v>179</v>
      </c>
      <c r="B61" s="6" t="n">
        <f aca="false">Confusion_Matrix!B61/(Confusion_Matrix!B61+Confusion_Matrix!C61)</f>
        <v>0.22027027027027</v>
      </c>
      <c r="C61" s="6" t="n">
        <f aca="false">Confusion_Matrix!B61/(Confusion_Matrix!B61+Confusion_Matrix!D61)</f>
        <v>0.917448405253283</v>
      </c>
      <c r="D61" s="6" t="n">
        <f aca="false">2*B61*C61/(B61+C61)</f>
        <v>0.355248819469669</v>
      </c>
      <c r="E61" s="6" t="n">
        <f aca="false">Confusion_Matrix!E61/(Confusion_Matrix!E61+Confusion_Matrix!C61)</f>
        <v>0.969004046843104</v>
      </c>
    </row>
    <row r="62" customFormat="false" ht="15" hidden="false" customHeight="false" outlineLevel="0" collapsed="false">
      <c r="A62" s="4" t="s">
        <v>181</v>
      </c>
      <c r="B62" s="6" t="n">
        <f aca="false">Confusion_Matrix!B62/(Confusion_Matrix!B62+Confusion_Matrix!C62)</f>
        <v>0.0275800711743772</v>
      </c>
      <c r="C62" s="6" t="n">
        <f aca="false">Confusion_Matrix!B62/(Confusion_Matrix!B62+Confusion_Matrix!D62)</f>
        <v>0.666666666666667</v>
      </c>
      <c r="D62" s="6" t="n">
        <f aca="false">2*B62*C62/(B62+C62)</f>
        <v>0.0529688167449808</v>
      </c>
      <c r="E62" s="6" t="n">
        <f aca="false">Confusion_Matrix!E62/(Confusion_Matrix!E62+Confusion_Matrix!C62)</f>
        <v>0.975132810811426</v>
      </c>
    </row>
    <row r="63" customFormat="false" ht="15" hidden="false" customHeight="false" outlineLevel="0" collapsed="false">
      <c r="A63" s="4" t="s">
        <v>183</v>
      </c>
      <c r="B63" s="6" t="n">
        <f aca="false">Confusion_Matrix!B63/(Confusion_Matrix!B63+Confusion_Matrix!C63)</f>
        <v>0.12541993281075</v>
      </c>
      <c r="C63" s="6" t="n">
        <f aca="false">Confusion_Matrix!B63/(Confusion_Matrix!B63+Confusion_Matrix!D63)</f>
        <v>0.903225806451613</v>
      </c>
      <c r="D63" s="6" t="n">
        <f aca="false">2*B63*C63/(B63+C63)</f>
        <v>0.220255653883972</v>
      </c>
      <c r="E63" s="6" t="n">
        <f aca="false">Confusion_Matrix!E63/(Confusion_Matrix!E63+Confusion_Matrix!C63)</f>
        <v>0.962426030758375</v>
      </c>
    </row>
    <row r="64" customFormat="false" ht="15" hidden="false" customHeight="false" outlineLevel="0" collapsed="false">
      <c r="A64" s="4" t="s">
        <v>185</v>
      </c>
      <c r="B64" s="6" t="n">
        <f aca="false">Confusion_Matrix!B64/(Confusion_Matrix!B64+Confusion_Matrix!C64)</f>
        <v>0.15513897866839</v>
      </c>
      <c r="C64" s="6" t="n">
        <f aca="false">Confusion_Matrix!B64/(Confusion_Matrix!B64+Confusion_Matrix!D64)</f>
        <v>0.9375</v>
      </c>
      <c r="D64" s="6" t="n">
        <f aca="false">2*B64*C64/(B64+C64)</f>
        <v>0.266222961730449</v>
      </c>
      <c r="E64" s="6" t="n">
        <f aca="false">Confusion_Matrix!E64/(Confusion_Matrix!E64+Confusion_Matrix!C64)</f>
        <v>0.965880464150993</v>
      </c>
    </row>
    <row r="65" customFormat="false" ht="15" hidden="false" customHeight="false" outlineLevel="0" collapsed="false">
      <c r="A65" s="4" t="s">
        <v>187</v>
      </c>
      <c r="B65" s="6" t="n">
        <f aca="false">Confusion_Matrix!B65/(Confusion_Matrix!B65+Confusion_Matrix!C65)</f>
        <v>0.173462986198243</v>
      </c>
      <c r="C65" s="6" t="n">
        <f aca="false">Confusion_Matrix!B65/(Confusion_Matrix!B65+Confusion_Matrix!D65)</f>
        <v>0.849462365591398</v>
      </c>
      <c r="D65" s="6" t="n">
        <f aca="false">2*B65*C65/(B65+C65)</f>
        <v>0.288095858296431</v>
      </c>
      <c r="E65" s="6" t="n">
        <f aca="false">Confusion_Matrix!E65/(Confusion_Matrix!E65+Confusion_Matrix!C65)</f>
        <v>0.96953017495577</v>
      </c>
    </row>
    <row r="66" customFormat="false" ht="15" hidden="false" customHeight="false" outlineLevel="0" collapsed="false">
      <c r="A66" s="4" t="s">
        <v>189</v>
      </c>
      <c r="B66" s="6" t="n">
        <f aca="false">Confusion_Matrix!B66/(Confusion_Matrix!B66+Confusion_Matrix!C66)</f>
        <v>0.251709986320109</v>
      </c>
      <c r="C66" s="6" t="n">
        <f aca="false">Confusion_Matrix!B66/(Confusion_Matrix!B66+Confusion_Matrix!D66)</f>
        <v>0.958333333333333</v>
      </c>
      <c r="D66" s="6" t="n">
        <f aca="false">2*B66*C66/(B66+C66)</f>
        <v>0.398699891657638</v>
      </c>
      <c r="E66" s="6" t="n">
        <f aca="false">Confusion_Matrix!E66/(Confusion_Matrix!E66+Confusion_Matrix!C66)</f>
        <v>0.971936725096195</v>
      </c>
    </row>
    <row r="67" customFormat="false" ht="15" hidden="false" customHeight="false" outlineLevel="0" collapsed="false">
      <c r="A67" s="4" t="s">
        <v>191</v>
      </c>
      <c r="B67" s="6" t="n">
        <f aca="false">Confusion_Matrix!B67/(Confusion_Matrix!B67+Confusion_Matrix!C67)</f>
        <v>0.169001751313485</v>
      </c>
      <c r="C67" s="6" t="n">
        <f aca="false">Confusion_Matrix!B67/(Confusion_Matrix!B67+Confusion_Matrix!D67)</f>
        <v>0.921974522292994</v>
      </c>
      <c r="D67" s="6" t="n">
        <f aca="false">2*B67*C67/(B67+C67)</f>
        <v>0.285643808584114</v>
      </c>
      <c r="E67" s="6" t="n">
        <f aca="false">Confusion_Matrix!E67/(Confusion_Matrix!E67+Confusion_Matrix!C67)</f>
        <v>0.96793485606163</v>
      </c>
    </row>
    <row r="68" customFormat="false" ht="15" hidden="false" customHeight="false" outlineLevel="0" collapsed="false">
      <c r="A68" s="4" t="s">
        <v>193</v>
      </c>
      <c r="B68" s="6" t="n">
        <f aca="false">Confusion_Matrix!B68/(Confusion_Matrix!B68+Confusion_Matrix!C68)</f>
        <v>0.143835616438356</v>
      </c>
      <c r="C68" s="6" t="n">
        <f aca="false">Confusion_Matrix!B68/(Confusion_Matrix!B68+Confusion_Matrix!D68)</f>
        <v>0.818941504178273</v>
      </c>
      <c r="D68" s="6" t="n">
        <f aca="false">2*B68*C68/(B68+C68)</f>
        <v>0.244694132334582</v>
      </c>
      <c r="E68" s="6" t="n">
        <f aca="false">Confusion_Matrix!E68/(Confusion_Matrix!E68+Confusion_Matrix!C68)</f>
        <v>0.938671806553356</v>
      </c>
    </row>
    <row r="69" customFormat="false" ht="15" hidden="false" customHeight="false" outlineLevel="0" collapsed="false">
      <c r="A69" s="4" t="s">
        <v>195</v>
      </c>
      <c r="B69" s="6" t="n">
        <f aca="false">Confusion_Matrix!B69/(Confusion_Matrix!B69+Confusion_Matrix!C69)</f>
        <v>0.534274193548387</v>
      </c>
      <c r="C69" s="6" t="n">
        <f aca="false">Confusion_Matrix!B69/(Confusion_Matrix!B69+Confusion_Matrix!D69)</f>
        <v>0.868852459016393</v>
      </c>
      <c r="D69" s="6" t="n">
        <f aca="false">2*B69*C69/(B69+C69)</f>
        <v>0.66167290886392</v>
      </c>
      <c r="E69" s="6" t="n">
        <f aca="false">Confusion_Matrix!E69/(Confusion_Matrix!E69+Confusion_Matrix!C69)</f>
        <v>0.993281368157757</v>
      </c>
    </row>
    <row r="70" customFormat="false" ht="15" hidden="false" customHeight="false" outlineLevel="0" collapsed="false">
      <c r="A70" s="4" t="s">
        <v>197</v>
      </c>
      <c r="B70" s="6" t="n">
        <f aca="false">Confusion_Matrix!B70/(Confusion_Matrix!B70+Confusion_Matrix!C70)</f>
        <v>0.183144246353323</v>
      </c>
      <c r="C70" s="6" t="n">
        <f aca="false">Confusion_Matrix!B70/(Confusion_Matrix!B70+Confusion_Matrix!D70)</f>
        <v>0.896825396825397</v>
      </c>
      <c r="D70" s="6" t="n">
        <f aca="false">2*B70*C70/(B70+C70)</f>
        <v>0.304172274562584</v>
      </c>
      <c r="E70" s="6" t="n">
        <f aca="false">Confusion_Matrix!E70/(Confusion_Matrix!E70+Confusion_Matrix!C70)</f>
        <v>0.9880852472193</v>
      </c>
    </row>
    <row r="71" customFormat="false" ht="15" hidden="false" customHeight="false" outlineLevel="0" collapsed="false">
      <c r="A71" s="4" t="s">
        <v>199</v>
      </c>
      <c r="B71" s="6" t="n">
        <f aca="false">Confusion_Matrix!B71/(Confusion_Matrix!B71+Confusion_Matrix!C71)</f>
        <v>0.171574178935447</v>
      </c>
      <c r="C71" s="6" t="n">
        <f aca="false">Confusion_Matrix!B71/(Confusion_Matrix!B71+Confusion_Matrix!D71)</f>
        <v>0.763224181360202</v>
      </c>
      <c r="D71" s="6" t="n">
        <f aca="false">2*B71*C71/(B71+C71)</f>
        <v>0.280166435506241</v>
      </c>
      <c r="E71" s="6" t="n">
        <f aca="false">Confusion_Matrix!E71/(Confusion_Matrix!E71+Confusion_Matrix!C71)</f>
        <v>0.969128508124077</v>
      </c>
    </row>
    <row r="72" customFormat="false" ht="15" hidden="false" customHeight="false" outlineLevel="0" collapsed="false">
      <c r="A72" s="4" t="s">
        <v>201</v>
      </c>
      <c r="B72" s="6" t="n">
        <f aca="false">Confusion_Matrix!B72/(Confusion_Matrix!B72+Confusion_Matrix!C72)</f>
        <v>0.140589569160998</v>
      </c>
      <c r="C72" s="6" t="n">
        <f aca="false">Confusion_Matrix!B72/(Confusion_Matrix!B72+Confusion_Matrix!D72)</f>
        <v>0.436619718309859</v>
      </c>
      <c r="D72" s="6" t="n">
        <f aca="false">2*B72*C72/(B72+C72)</f>
        <v>0.212692967409949</v>
      </c>
      <c r="E72" s="6" t="n">
        <f aca="false">Confusion_Matrix!E72/(Confusion_Matrix!E72+Confusion_Matrix!C72)</f>
        <v>0.992827539221438</v>
      </c>
    </row>
    <row r="73" customFormat="false" ht="15" hidden="false" customHeight="false" outlineLevel="0" collapsed="false">
      <c r="A73" s="4" t="s">
        <v>203</v>
      </c>
      <c r="B73" s="6" t="n">
        <f aca="false">Confusion_Matrix!B73/(Confusion_Matrix!B73+Confusion_Matrix!C73)</f>
        <v>0.223628691983122</v>
      </c>
      <c r="C73" s="6" t="n">
        <f aca="false">Confusion_Matrix!B73/(Confusion_Matrix!B73+Confusion_Matrix!D73)</f>
        <v>0.922630560928433</v>
      </c>
      <c r="D73" s="6" t="n">
        <f aca="false">2*B73*C73/(B73+C73)</f>
        <v>0.36</v>
      </c>
      <c r="E73" s="6" t="n">
        <f aca="false">Confusion_Matrix!E73/(Confusion_Matrix!E73+Confusion_Matrix!C73)</f>
        <v>0.978530590019836</v>
      </c>
    </row>
    <row r="74" customFormat="false" ht="15" hidden="false" customHeight="false" outlineLevel="0" collapsed="false">
      <c r="A74" s="4" t="s">
        <v>205</v>
      </c>
      <c r="B74" s="6" t="n">
        <f aca="false">Confusion_Matrix!B74/(Confusion_Matrix!B74+Confusion_Matrix!C74)</f>
        <v>0.179667840966281</v>
      </c>
      <c r="C74" s="6" t="n">
        <f aca="false">Confusion_Matrix!B74/(Confusion_Matrix!B74+Confusion_Matrix!D74)</f>
        <v>0.807692307692308</v>
      </c>
      <c r="D74" s="6" t="n">
        <f aca="false">2*B74*C74/(B74+C74)</f>
        <v>0.293948126801153</v>
      </c>
      <c r="E74" s="6" t="n">
        <f aca="false">Confusion_Matrix!E74/(Confusion_Matrix!E74+Confusion_Matrix!C74)</f>
        <v>0.925818049424294</v>
      </c>
    </row>
    <row r="75" customFormat="false" ht="15" hidden="false" customHeight="false" outlineLevel="0" collapsed="false">
      <c r="A75" s="4" t="s">
        <v>207</v>
      </c>
      <c r="B75" s="6" t="n">
        <f aca="false">Confusion_Matrix!B75/(Confusion_Matrix!B75+Confusion_Matrix!C75)</f>
        <v>0.126060606060606</v>
      </c>
      <c r="C75" s="6" t="n">
        <f aca="false">Confusion_Matrix!B75/(Confusion_Matrix!B75+Confusion_Matrix!D75)</f>
        <v>0.845528455284553</v>
      </c>
      <c r="D75" s="6" t="n">
        <f aca="false">2*B75*C75/(B75+C75)</f>
        <v>0.219409282700422</v>
      </c>
      <c r="E75" s="6" t="n">
        <f aca="false">Confusion_Matrix!E75/(Confusion_Matrix!E75+Confusion_Matrix!C75)</f>
        <v>0.98586579365235</v>
      </c>
    </row>
    <row r="76" customFormat="false" ht="15" hidden="false" customHeight="false" outlineLevel="0" collapsed="false">
      <c r="A76" s="4" t="s">
        <v>209</v>
      </c>
      <c r="B76" s="6" t="n">
        <f aca="false">Confusion_Matrix!B76/(Confusion_Matrix!B76+Confusion_Matrix!C76)</f>
        <v>0.5437430786268</v>
      </c>
      <c r="C76" s="6" t="n">
        <f aca="false">Confusion_Matrix!B76/(Confusion_Matrix!B76+Confusion_Matrix!D76)</f>
        <v>0.843642611683849</v>
      </c>
      <c r="D76" s="6" t="n">
        <f aca="false">2*B76*C76/(B76+C76)</f>
        <v>0.661279461279461</v>
      </c>
      <c r="E76" s="6" t="n">
        <f aca="false">Confusion_Matrix!E76/(Confusion_Matrix!E76+Confusion_Matrix!C76)</f>
        <v>0.995153568361741</v>
      </c>
    </row>
    <row r="77" customFormat="false" ht="15" hidden="false" customHeight="false" outlineLevel="0" collapsed="false">
      <c r="A77" s="4" t="s">
        <v>211</v>
      </c>
      <c r="B77" s="6" t="n">
        <f aca="false">Confusion_Matrix!B77/(Confusion_Matrix!B77+Confusion_Matrix!C77)</f>
        <v>0.208269525267994</v>
      </c>
      <c r="C77" s="6" t="n">
        <f aca="false">Confusion_Matrix!B77/(Confusion_Matrix!B77+Confusion_Matrix!D77)</f>
        <v>0.632558139534884</v>
      </c>
      <c r="D77" s="6" t="n">
        <f aca="false">2*B77*C77/(B77+C77)</f>
        <v>0.313364055299539</v>
      </c>
      <c r="E77" s="6" t="n">
        <f aca="false">Confusion_Matrix!E77/(Confusion_Matrix!E77+Confusion_Matrix!C77)</f>
        <v>0.991325503355705</v>
      </c>
    </row>
    <row r="78" customFormat="false" ht="15" hidden="false" customHeight="false" outlineLevel="0" collapsed="false">
      <c r="A78" s="4" t="s">
        <v>213</v>
      </c>
      <c r="B78" s="6" t="n">
        <f aca="false">Confusion_Matrix!B78/(Confusion_Matrix!B78+Confusion_Matrix!C78)</f>
        <v>0.331597222222222</v>
      </c>
      <c r="C78" s="6" t="n">
        <f aca="false">Confusion_Matrix!B78/(Confusion_Matrix!B78+Confusion_Matrix!D78)</f>
        <v>0.8953125</v>
      </c>
      <c r="D78" s="6" t="n">
        <f aca="false">2*B78*C78/(B78+C78)</f>
        <v>0.483952702702703</v>
      </c>
      <c r="E78" s="6" t="n">
        <f aca="false">Confusion_Matrix!E78/(Confusion_Matrix!E78+Confusion_Matrix!C78)</f>
        <v>0.946351432950903</v>
      </c>
    </row>
    <row r="79" customFormat="false" ht="15" hidden="false" customHeight="false" outlineLevel="0" collapsed="false">
      <c r="A79" s="4" t="s">
        <v>215</v>
      </c>
      <c r="B79" s="6" t="n">
        <f aca="false">Confusion_Matrix!B79/(Confusion_Matrix!B79+Confusion_Matrix!C79)</f>
        <v>0.12396694214876</v>
      </c>
      <c r="C79" s="6" t="n">
        <f aca="false">Confusion_Matrix!B79/(Confusion_Matrix!B79+Confusion_Matrix!D79)</f>
        <v>0.975232198142415</v>
      </c>
      <c r="D79" s="6" t="n">
        <f aca="false">2*B79*C79/(B79+C79)</f>
        <v>0.219972067039106</v>
      </c>
      <c r="E79" s="6" t="n">
        <f aca="false">Confusion_Matrix!E79/(Confusion_Matrix!E79+Confusion_Matrix!C79)</f>
        <v>0.966430908898976</v>
      </c>
    </row>
    <row r="80" customFormat="false" ht="15" hidden="false" customHeight="false" outlineLevel="0" collapsed="false">
      <c r="A80" s="4" t="s">
        <v>217</v>
      </c>
      <c r="B80" s="6" t="n">
        <f aca="false">Confusion_Matrix!B80/(Confusion_Matrix!B80+Confusion_Matrix!C80)</f>
        <v>0.0322218059198202</v>
      </c>
      <c r="C80" s="6" t="n">
        <f aca="false">Confusion_Matrix!B80/(Confusion_Matrix!B80+Confusion_Matrix!D80)</f>
        <v>0.637037037037037</v>
      </c>
      <c r="D80" s="6" t="n">
        <f aca="false">2*B80*C80/(B80+C80)</f>
        <v>0.0613409415121255</v>
      </c>
      <c r="E80" s="6" t="n">
        <f aca="false">Confusion_Matrix!E80/(Confusion_Matrix!E80+Confusion_Matrix!C80)</f>
        <v>0.899790502793296</v>
      </c>
    </row>
    <row r="81" customFormat="false" ht="15" hidden="false" customHeight="false" outlineLevel="0" collapsed="false">
      <c r="A81" s="4" t="s">
        <v>219</v>
      </c>
      <c r="B81" s="6" t="n">
        <f aca="false">Confusion_Matrix!B81/(Confusion_Matrix!B81+Confusion_Matrix!C81)</f>
        <v>0.178571428571429</v>
      </c>
      <c r="C81" s="6" t="n">
        <f aca="false">Confusion_Matrix!B81/(Confusion_Matrix!B81+Confusion_Matrix!D81)</f>
        <v>0.55944055944056</v>
      </c>
      <c r="D81" s="6" t="n">
        <f aca="false">2*B81*C81/(B81+C81)</f>
        <v>0.27072758037225</v>
      </c>
      <c r="E81" s="6" t="n">
        <f aca="false">Confusion_Matrix!E81/(Confusion_Matrix!E81+Confusion_Matrix!C81)</f>
        <v>0.994553634856737</v>
      </c>
    </row>
    <row r="82" customFormat="false" ht="15" hidden="false" customHeight="false" outlineLevel="0" collapsed="false">
      <c r="A82" s="4" t="s">
        <v>221</v>
      </c>
      <c r="B82" s="6" t="n">
        <f aca="false">Confusion_Matrix!B82/(Confusion_Matrix!B82+Confusion_Matrix!C82)</f>
        <v>0.122365339578454</v>
      </c>
      <c r="C82" s="6" t="n">
        <f aca="false">Confusion_Matrix!B82/(Confusion_Matrix!B82+Confusion_Matrix!D82)</f>
        <v>0.935123042505593</v>
      </c>
      <c r="D82" s="6" t="n">
        <f aca="false">2*B82*C82/(B82+C82)</f>
        <v>0.216412114936578</v>
      </c>
      <c r="E82" s="6" t="n">
        <f aca="false">Confusion_Matrix!E82/(Confusion_Matrix!E82+Confusion_Matrix!C82)</f>
        <v>0.948500360737967</v>
      </c>
    </row>
    <row r="83" customFormat="false" ht="15" hidden="false" customHeight="false" outlineLevel="0" collapsed="false">
      <c r="A83" s="4" t="s">
        <v>223</v>
      </c>
      <c r="B83" s="6" t="n">
        <f aca="false">Confusion_Matrix!B83/(Confusion_Matrix!B83+Confusion_Matrix!C83)</f>
        <v>0.181496062992126</v>
      </c>
      <c r="C83" s="6" t="n">
        <f aca="false">Confusion_Matrix!B83/(Confusion_Matrix!B83+Confusion_Matrix!D83)</f>
        <v>0.815929203539823</v>
      </c>
      <c r="D83" s="6" t="n">
        <f aca="false">2*B83*C83/(B83+C83)</f>
        <v>0.296940418679549</v>
      </c>
      <c r="E83" s="6" t="n">
        <f aca="false">Confusion_Matrix!E83/(Confusion_Matrix!E83+Confusion_Matrix!C83)</f>
        <v>0.974254188802616</v>
      </c>
    </row>
    <row r="84" customFormat="false" ht="15" hidden="false" customHeight="false" outlineLevel="0" collapsed="false">
      <c r="A84" s="4" t="s">
        <v>225</v>
      </c>
      <c r="B84" s="6" t="n">
        <f aca="false">Confusion_Matrix!B84/(Confusion_Matrix!B84+Confusion_Matrix!C84)</f>
        <v>0.0865155131264917</v>
      </c>
      <c r="C84" s="6" t="n">
        <f aca="false">Confusion_Matrix!B84/(Confusion_Matrix!B84+Confusion_Matrix!D84)</f>
        <v>0.683962264150943</v>
      </c>
      <c r="D84" s="6" t="n">
        <f aca="false">2*B84*C84/(B84+C84)</f>
        <v>0.153601694915254</v>
      </c>
      <c r="E84" s="6" t="n">
        <f aca="false">Confusion_Matrix!E84/(Confusion_Matrix!E84+Confusion_Matrix!C84)</f>
        <v>0.961227745840403</v>
      </c>
    </row>
    <row r="85" customFormat="false" ht="15" hidden="false" customHeight="false" outlineLevel="0" collapsed="false">
      <c r="A85" s="4" t="s">
        <v>227</v>
      </c>
      <c r="B85" s="6" t="n">
        <f aca="false">Confusion_Matrix!B85/(Confusion_Matrix!B85+Confusion_Matrix!C85)</f>
        <v>0.140470508012274</v>
      </c>
      <c r="C85" s="6" t="n">
        <f aca="false">Confusion_Matrix!B85/(Confusion_Matrix!B85+Confusion_Matrix!D85)</f>
        <v>0.82897384305835</v>
      </c>
      <c r="D85" s="6" t="n">
        <f aca="false">2*B85*C85/(B85+C85)</f>
        <v>0.240233236151604</v>
      </c>
      <c r="E85" s="6" t="n">
        <f aca="false">Confusion_Matrix!E85/(Confusion_Matrix!E85+Confusion_Matrix!C85)</f>
        <v>0.954980535019108</v>
      </c>
    </row>
    <row r="86" customFormat="false" ht="15" hidden="false" customHeight="false" outlineLevel="0" collapsed="false">
      <c r="A86" s="4" t="s">
        <v>229</v>
      </c>
      <c r="B86" s="6" t="n">
        <f aca="false">Confusion_Matrix!B86/(Confusion_Matrix!B86+Confusion_Matrix!C86)</f>
        <v>0.111339359079704</v>
      </c>
      <c r="C86" s="6" t="n">
        <f aca="false">Confusion_Matrix!B86/(Confusion_Matrix!B86+Confusion_Matrix!D86)</f>
        <v>0.748618784530387</v>
      </c>
      <c r="D86" s="6" t="n">
        <f aca="false">2*B86*C86/(B86+C86)</f>
        <v>0.193848354792561</v>
      </c>
      <c r="E86" s="6" t="n">
        <f aca="false">Confusion_Matrix!E86/(Confusion_Matrix!E86+Confusion_Matrix!C86)</f>
        <v>0.958907232555047</v>
      </c>
    </row>
    <row r="87" customFormat="false" ht="15" hidden="false" customHeight="false" outlineLevel="0" collapsed="false">
      <c r="A87" s="4" t="s">
        <v>231</v>
      </c>
      <c r="B87" s="6" t="n">
        <f aca="false">Confusion_Matrix!B87/(Confusion_Matrix!B87+Confusion_Matrix!C87)</f>
        <v>0.503128911138924</v>
      </c>
      <c r="C87" s="6" t="n">
        <f aca="false">Confusion_Matrix!B87/(Confusion_Matrix!B87+Confusion_Matrix!D87)</f>
        <v>0.842767295597484</v>
      </c>
      <c r="D87" s="6" t="n">
        <f aca="false">2*B87*C87/(B87+C87)</f>
        <v>0.630094043887147</v>
      </c>
      <c r="E87" s="6" t="n">
        <f aca="false">Confusion_Matrix!E87/(Confusion_Matrix!E87+Confusion_Matrix!C87)</f>
        <v>0.995185778036477</v>
      </c>
    </row>
    <row r="88" customFormat="false" ht="15" hidden="false" customHeight="false" outlineLevel="0" collapsed="false">
      <c r="A88" s="4" t="s">
        <v>233</v>
      </c>
      <c r="B88" s="6" t="n">
        <f aca="false">Confusion_Matrix!B88/(Confusion_Matrix!B88+Confusion_Matrix!C88)</f>
        <v>0.683727034120735</v>
      </c>
      <c r="C88" s="6" t="n">
        <f aca="false">Confusion_Matrix!B88/(Confusion_Matrix!B88+Confusion_Matrix!D88)</f>
        <v>0.838969404186795</v>
      </c>
      <c r="D88" s="6" t="n">
        <f aca="false">2*B88*C88/(B88+C88)</f>
        <v>0.753434562545192</v>
      </c>
      <c r="E88" s="6" t="n">
        <f aca="false">Confusion_Matrix!E88/(Confusion_Matrix!E88+Confusion_Matrix!C88)</f>
        <v>0.992546084374613</v>
      </c>
    </row>
    <row r="89" customFormat="false" ht="15" hidden="false" customHeight="false" outlineLevel="0" collapsed="false">
      <c r="A89" s="4" t="s">
        <v>235</v>
      </c>
      <c r="B89" s="6" t="n">
        <f aca="false">Confusion_Matrix!B89/(Confusion_Matrix!B89+Confusion_Matrix!C89)</f>
        <v>0.0817253121452894</v>
      </c>
      <c r="C89" s="6" t="n">
        <f aca="false">Confusion_Matrix!B89/(Confusion_Matrix!B89+Confusion_Matrix!D89)</f>
        <v>0.939130434782609</v>
      </c>
      <c r="D89" s="6" t="n">
        <f aca="false">2*B89*C89/(B89+C89)</f>
        <v>0.15036547163244</v>
      </c>
      <c r="E89" s="6" t="n">
        <f aca="false">Confusion_Matrix!E89/(Confusion_Matrix!E89+Confusion_Matrix!C89)</f>
        <v>0.966369204334451</v>
      </c>
    </row>
    <row r="90" customFormat="false" ht="15" hidden="false" customHeight="false" outlineLevel="0" collapsed="false">
      <c r="A90" s="4" t="s">
        <v>237</v>
      </c>
      <c r="B90" s="6" t="n">
        <f aca="false">Confusion_Matrix!B90/(Confusion_Matrix!B90+Confusion_Matrix!C90)</f>
        <v>0.473170731707317</v>
      </c>
      <c r="C90" s="6" t="n">
        <f aca="false">Confusion_Matrix!B90/(Confusion_Matrix!B90+Confusion_Matrix!D90)</f>
        <v>0.867362146050671</v>
      </c>
      <c r="D90" s="6" t="n">
        <f aca="false">2*B90*C90/(B90+C90)</f>
        <v>0.612309310889006</v>
      </c>
      <c r="E90" s="6" t="n">
        <f aca="false">Confusion_Matrix!E90/(Confusion_Matrix!E90+Confusion_Matrix!C90)</f>
        <v>0.988027271215565</v>
      </c>
    </row>
    <row r="91" customFormat="false" ht="15" hidden="false" customHeight="false" outlineLevel="0" collapsed="false">
      <c r="A91" s="4" t="s">
        <v>239</v>
      </c>
      <c r="B91" s="6" t="n">
        <f aca="false">Confusion_Matrix!B91/(Confusion_Matrix!B91+Confusion_Matrix!C91)</f>
        <v>0.475774424146148</v>
      </c>
      <c r="C91" s="6" t="n">
        <f aca="false">Confusion_Matrix!B91/(Confusion_Matrix!B91+Confusion_Matrix!D91)</f>
        <v>0.882179675994109</v>
      </c>
      <c r="D91" s="6" t="n">
        <f aca="false">2*B91*C91/(B91+C91)</f>
        <v>0.618163054695562</v>
      </c>
      <c r="E91" s="6" t="n">
        <f aca="false">Confusion_Matrix!E91/(Confusion_Matrix!E91+Confusion_Matrix!C91)</f>
        <v>0.990958656401545</v>
      </c>
    </row>
    <row r="92" customFormat="false" ht="15" hidden="false" customHeight="false" outlineLevel="0" collapsed="false">
      <c r="A92" s="4" t="s">
        <v>241</v>
      </c>
      <c r="B92" s="6" t="n">
        <f aca="false">Confusion_Matrix!B92/(Confusion_Matrix!B92+Confusion_Matrix!C92)</f>
        <v>0.204561911658219</v>
      </c>
      <c r="C92" s="6" t="n">
        <f aca="false">Confusion_Matrix!B92/(Confusion_Matrix!B92+Confusion_Matrix!D92)</f>
        <v>0.892575039494471</v>
      </c>
      <c r="D92" s="6" t="n">
        <f aca="false">2*B92*C92/(B92+C92)</f>
        <v>0.332842415316642</v>
      </c>
      <c r="E92" s="6" t="n">
        <f aca="false">Confusion_Matrix!E92/(Confusion_Matrix!E92+Confusion_Matrix!C92)</f>
        <v>0.963777554284207</v>
      </c>
    </row>
    <row r="93" customFormat="false" ht="15" hidden="false" customHeight="false" outlineLevel="0" collapsed="false">
      <c r="A93" s="4" t="s">
        <v>243</v>
      </c>
      <c r="B93" s="6" t="n">
        <f aca="false">Confusion_Matrix!B93/(Confusion_Matrix!B93+Confusion_Matrix!C93)</f>
        <v>0.134785568413887</v>
      </c>
      <c r="C93" s="6" t="n">
        <f aca="false">Confusion_Matrix!B93/(Confusion_Matrix!B93+Confusion_Matrix!D93)</f>
        <v>0.72</v>
      </c>
      <c r="D93" s="6" t="n">
        <f aca="false">2*B93*C93/(B93+C93)</f>
        <v>0.227064220183486</v>
      </c>
      <c r="E93" s="6" t="n">
        <f aca="false">Confusion_Matrix!E93/(Confusion_Matrix!E93+Confusion_Matrix!C93)</f>
        <v>0.981178177941002</v>
      </c>
    </row>
    <row r="94" customFormat="false" ht="15" hidden="false" customHeight="false" outlineLevel="0" collapsed="false">
      <c r="A94" s="4" t="s">
        <v>245</v>
      </c>
      <c r="B94" s="6" t="n">
        <f aca="false">Confusion_Matrix!B94/(Confusion_Matrix!B94+Confusion_Matrix!C94)</f>
        <v>0.0603837471783296</v>
      </c>
      <c r="C94" s="6" t="n">
        <f aca="false">Confusion_Matrix!B94/(Confusion_Matrix!B94+Confusion_Matrix!D94)</f>
        <v>0.732876712328767</v>
      </c>
      <c r="D94" s="6" t="n">
        <f aca="false">2*B94*C94/(B94+C94)</f>
        <v>0.111574556830031</v>
      </c>
      <c r="E94" s="6" t="n">
        <f aca="false">Confusion_Matrix!E94/(Confusion_Matrix!E94+Confusion_Matrix!C94)</f>
        <v>0.970561193818735</v>
      </c>
    </row>
    <row r="95" customFormat="false" ht="15" hidden="false" customHeight="false" outlineLevel="0" collapsed="false">
      <c r="A95" s="4" t="s">
        <v>247</v>
      </c>
      <c r="B95" s="6" t="n">
        <f aca="false">Confusion_Matrix!B95/(Confusion_Matrix!B95+Confusion_Matrix!C95)</f>
        <v>0.233349305222808</v>
      </c>
      <c r="C95" s="6" t="n">
        <f aca="false">Confusion_Matrix!B95/(Confusion_Matrix!B95+Confusion_Matrix!D95)</f>
        <v>0.949317738791423</v>
      </c>
      <c r="D95" s="6" t="n">
        <f aca="false">2*B95*C95/(B95+C95)</f>
        <v>0.374615384615385</v>
      </c>
      <c r="E95" s="6" t="n">
        <f aca="false">Confusion_Matrix!E95/(Confusion_Matrix!E95+Confusion_Matrix!C95)</f>
        <v>0.978507911774978</v>
      </c>
    </row>
    <row r="96" customFormat="false" ht="15" hidden="false" customHeight="false" outlineLevel="0" collapsed="false">
      <c r="A96" s="4" t="s">
        <v>249</v>
      </c>
      <c r="B96" s="6" t="n">
        <f aca="false">Confusion_Matrix!B96/(Confusion_Matrix!B96+Confusion_Matrix!C96)</f>
        <v>0.207581227436823</v>
      </c>
      <c r="C96" s="6" t="n">
        <f aca="false">Confusion_Matrix!B96/(Confusion_Matrix!B96+Confusion_Matrix!D96)</f>
        <v>0.888030888030888</v>
      </c>
      <c r="D96" s="6" t="n">
        <f aca="false">2*B96*C96/(B96+C96)</f>
        <v>0.336503291880029</v>
      </c>
      <c r="E96" s="6" t="n">
        <f aca="false">Confusion_Matrix!E96/(Confusion_Matrix!E96+Confusion_Matrix!C96)</f>
        <v>0.973668820944983</v>
      </c>
    </row>
    <row r="97" customFormat="false" ht="15" hidden="false" customHeight="false" outlineLevel="0" collapsed="false">
      <c r="A97" s="4" t="s">
        <v>251</v>
      </c>
      <c r="B97" s="6" t="n">
        <f aca="false">Confusion_Matrix!B97/(Confusion_Matrix!B97+Confusion_Matrix!C97)</f>
        <v>0.265785609397944</v>
      </c>
      <c r="C97" s="6" t="n">
        <f aca="false">Confusion_Matrix!B97/(Confusion_Matrix!B97+Confusion_Matrix!D97)</f>
        <v>0.928205128205128</v>
      </c>
      <c r="D97" s="6" t="n">
        <f aca="false">2*B97*C97/(B97+C97)</f>
        <v>0.41324200913242</v>
      </c>
      <c r="E97" s="6" t="n">
        <f aca="false">Confusion_Matrix!E97/(Confusion_Matrix!E97+Confusion_Matrix!C97)</f>
        <v>0.988351233604361</v>
      </c>
    </row>
    <row r="98" customFormat="false" ht="15" hidden="false" customHeight="false" outlineLevel="0" collapsed="false">
      <c r="A98" s="4" t="s">
        <v>253</v>
      </c>
      <c r="B98" s="6" t="n">
        <f aca="false">Confusion_Matrix!B98/(Confusion_Matrix!B98+Confusion_Matrix!C98)</f>
        <v>0.473058637083994</v>
      </c>
      <c r="C98" s="6" t="n">
        <f aca="false">Confusion_Matrix!B98/(Confusion_Matrix!B98+Confusion_Matrix!D98)</f>
        <v>0.970731707317073</v>
      </c>
      <c r="D98" s="6" t="n">
        <f aca="false">2*B98*C98/(B98+C98)</f>
        <v>0.63612147043154</v>
      </c>
      <c r="E98" s="6" t="n">
        <f aca="false">Confusion_Matrix!E98/(Confusion_Matrix!E98+Confusion_Matrix!C98)</f>
        <v>0.99207852386568</v>
      </c>
    </row>
    <row r="99" customFormat="false" ht="15" hidden="false" customHeight="false" outlineLevel="0" collapsed="false">
      <c r="A99" s="4" t="s">
        <v>255</v>
      </c>
      <c r="B99" s="6" t="n">
        <f aca="false">Confusion_Matrix!B99/(Confusion_Matrix!B99+Confusion_Matrix!C99)</f>
        <v>0.165546218487395</v>
      </c>
      <c r="C99" s="6" t="n">
        <f aca="false">Confusion_Matrix!B99/(Confusion_Matrix!B99+Confusion_Matrix!D99)</f>
        <v>0.824267782426778</v>
      </c>
      <c r="D99" s="6" t="n">
        <f aca="false">2*B99*C99/(B99+C99)</f>
        <v>0.275717284814556</v>
      </c>
      <c r="E99" s="6" t="n">
        <f aca="false">Confusion_Matrix!E99/(Confusion_Matrix!E99+Confusion_Matrix!C99)</f>
        <v>0.986909234724145</v>
      </c>
    </row>
    <row r="100" customFormat="false" ht="15" hidden="false" customHeight="false" outlineLevel="0" collapsed="false">
      <c r="A100" s="4" t="s">
        <v>257</v>
      </c>
      <c r="B100" s="6" t="n">
        <f aca="false">Confusion_Matrix!B100/(Confusion_Matrix!B100+Confusion_Matrix!C100)</f>
        <v>0.0965583173996176</v>
      </c>
      <c r="C100" s="6" t="n">
        <f aca="false">Confusion_Matrix!B100/(Confusion_Matrix!B100+Confusion_Matrix!D100)</f>
        <v>0.619631901840491</v>
      </c>
      <c r="D100" s="6" t="n">
        <f aca="false">2*B100*C100/(B100+C100)</f>
        <v>0.167080231596361</v>
      </c>
      <c r="E100" s="6" t="n">
        <f aca="false">Confusion_Matrix!E100/(Confusion_Matrix!E100+Confusion_Matrix!C100)</f>
        <v>0.961024498886414</v>
      </c>
    </row>
    <row r="101" customFormat="false" ht="15" hidden="false" customHeight="false" outlineLevel="0" collapsed="false">
      <c r="A101" s="4" t="s">
        <v>259</v>
      </c>
      <c r="B101" s="6" t="n">
        <f aca="false">Confusion_Matrix!B101/(Confusion_Matrix!B101+Confusion_Matrix!C101)</f>
        <v>0.574774774774775</v>
      </c>
      <c r="C101" s="6" t="n">
        <f aca="false">Confusion_Matrix!B101/(Confusion_Matrix!B101+Confusion_Matrix!D101)</f>
        <v>0.946587537091988</v>
      </c>
      <c r="D101" s="6" t="n">
        <f aca="false">2*B101*C101/(B101+C101)</f>
        <v>0.7152466367713</v>
      </c>
      <c r="E101" s="6" t="n">
        <f aca="false">Confusion_Matrix!E101/(Confusion_Matrix!E101+Confusion_Matrix!C101)</f>
        <v>0.996096786464449</v>
      </c>
    </row>
    <row r="102" customFormat="false" ht="15" hidden="false" customHeight="false" outlineLevel="0" collapsed="false">
      <c r="A102" s="4" t="s">
        <v>261</v>
      </c>
      <c r="B102" s="6" t="n">
        <f aca="false">Confusion_Matrix!B102/(Confusion_Matrix!B102+Confusion_Matrix!C102)</f>
        <v>0.0359634997316157</v>
      </c>
      <c r="C102" s="6" t="n">
        <f aca="false">Confusion_Matrix!B102/(Confusion_Matrix!B102+Confusion_Matrix!D102)</f>
        <v>0.752808988764045</v>
      </c>
      <c r="D102" s="6" t="n">
        <f aca="false">2*B102*C102/(B102+C102)</f>
        <v>0.0686475409836066</v>
      </c>
      <c r="E102" s="6" t="n">
        <f aca="false">Confusion_Matrix!E102/(Confusion_Matrix!E102+Confusion_Matrix!C102)</f>
        <v>0.937467358378887</v>
      </c>
    </row>
    <row r="103" customFormat="false" ht="15" hidden="false" customHeight="false" outlineLevel="0" collapsed="false">
      <c r="A103" s="4" t="s">
        <v>263</v>
      </c>
      <c r="B103" s="6" t="n">
        <f aca="false">Confusion_Matrix!B103/(Confusion_Matrix!B103+Confusion_Matrix!C103)</f>
        <v>0.470288624787776</v>
      </c>
      <c r="C103" s="6" t="n">
        <f aca="false">Confusion_Matrix!B103/(Confusion_Matrix!B103+Confusion_Matrix!D103)</f>
        <v>0.791428571428572</v>
      </c>
      <c r="D103" s="6" t="n">
        <f aca="false">2*B103*C103/(B103+C103)</f>
        <v>0.589989350372737</v>
      </c>
      <c r="E103" s="6" t="n">
        <f aca="false">Confusion_Matrix!E103/(Confusion_Matrix!E103+Confusion_Matrix!C103)</f>
        <v>0.991652173913044</v>
      </c>
    </row>
    <row r="104" customFormat="false" ht="15" hidden="false" customHeight="false" outlineLevel="0" collapsed="false">
      <c r="A104" s="4" t="s">
        <v>265</v>
      </c>
      <c r="B104" s="6" t="n">
        <f aca="false">Confusion_Matrix!B104/(Confusion_Matrix!B104+Confusion_Matrix!C104)</f>
        <v>0.323232323232323</v>
      </c>
      <c r="C104" s="6" t="n">
        <f aca="false">Confusion_Matrix!B104/(Confusion_Matrix!B104+Confusion_Matrix!D104)</f>
        <v>0.727272727272727</v>
      </c>
      <c r="D104" s="6" t="n">
        <f aca="false">2*B104*C104/(B104+C104)</f>
        <v>0.447552447552448</v>
      </c>
      <c r="E104" s="6" t="n">
        <f aca="false">Confusion_Matrix!E104/(Confusion_Matrix!E104+Confusion_Matrix!C104)</f>
        <v>0.994327802235015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15" hidden="false" customHeight="false" outlineLevel="0" collapsed="false">
      <c r="A4" s="3" t="s">
        <v>2</v>
      </c>
      <c r="B4" s="3" t="s">
        <v>273</v>
      </c>
      <c r="C4" s="3" t="s">
        <v>283</v>
      </c>
      <c r="D4" s="3" t="s">
        <v>284</v>
      </c>
      <c r="E4" s="3" t="s">
        <v>285</v>
      </c>
    </row>
    <row r="5" customFormat="false" ht="15" hidden="false" customHeight="false" outlineLevel="0" collapsed="false">
      <c r="A5" s="4" t="s">
        <v>10</v>
      </c>
      <c r="B5" s="5" t="n">
        <v>2387</v>
      </c>
      <c r="C5" s="5" t="n">
        <v>130</v>
      </c>
      <c r="D5" s="6" t="n">
        <f aca="false">C5/B5</f>
        <v>0.0544616673648932</v>
      </c>
      <c r="E5" s="5" t="n">
        <f aca="false">B5/Confusion_Matrix!G5*1000</f>
        <v>91.3229780396358</v>
      </c>
    </row>
    <row r="6" customFormat="false" ht="15" hidden="false" customHeight="false" outlineLevel="0" collapsed="false">
      <c r="A6" s="4" t="s">
        <v>18</v>
      </c>
      <c r="B6" s="5" t="n">
        <v>1067</v>
      </c>
      <c r="C6" s="5" t="n">
        <v>116</v>
      </c>
      <c r="D6" s="6" t="n">
        <f aca="false">C6/B6</f>
        <v>0.108716026241799</v>
      </c>
      <c r="E6" s="5" t="n">
        <f aca="false">B6/Confusion_Matrix!G6*1000</f>
        <v>12.2223622263714</v>
      </c>
    </row>
    <row r="7" customFormat="false" ht="15" hidden="false" customHeight="false" outlineLevel="0" collapsed="false">
      <c r="A7" s="4" t="s">
        <v>25</v>
      </c>
      <c r="B7" s="5" t="n">
        <v>3028</v>
      </c>
      <c r="C7" s="5" t="n">
        <v>64</v>
      </c>
      <c r="D7" s="6" t="n">
        <f aca="false">C7/B7</f>
        <v>0.0211360634081902</v>
      </c>
      <c r="E7" s="5" t="n">
        <f aca="false">B7/Confusion_Matrix!G7*1000</f>
        <v>126.562173458725</v>
      </c>
    </row>
    <row r="8" customFormat="false" ht="15" hidden="false" customHeight="false" outlineLevel="0" collapsed="false">
      <c r="A8" s="4" t="s">
        <v>32</v>
      </c>
      <c r="B8" s="5" t="n">
        <v>886</v>
      </c>
      <c r="C8" s="5" t="n">
        <v>126</v>
      </c>
      <c r="D8" s="6" t="n">
        <f aca="false">C8/B8</f>
        <v>0.142212189616253</v>
      </c>
      <c r="E8" s="5" t="n">
        <f aca="false">B8/Confusion_Matrix!G8*1000</f>
        <v>23.3452782462057</v>
      </c>
    </row>
    <row r="9" customFormat="false" ht="15" hidden="false" customHeight="false" outlineLevel="0" collapsed="false">
      <c r="A9" s="4" t="s">
        <v>40</v>
      </c>
      <c r="B9" s="5" t="n">
        <v>3539</v>
      </c>
      <c r="C9" s="5" t="n">
        <v>347</v>
      </c>
      <c r="D9" s="6" t="n">
        <f aca="false">C9/B9</f>
        <v>0.0980502966939814</v>
      </c>
      <c r="E9" s="5" t="n">
        <f aca="false">B9/Confusion_Matrix!G9*1000</f>
        <v>51.433720406354</v>
      </c>
    </row>
    <row r="10" customFormat="false" ht="15" hidden="false" customHeight="false" outlineLevel="0" collapsed="false">
      <c r="A10" s="4" t="s">
        <v>48</v>
      </c>
      <c r="B10" s="5" t="n">
        <v>2657</v>
      </c>
      <c r="C10" s="5" t="n">
        <v>378</v>
      </c>
      <c r="D10" s="6" t="n">
        <f aca="false">C10/B10</f>
        <v>0.142265713210388</v>
      </c>
      <c r="E10" s="5" t="n">
        <f aca="false">B10/Confusion_Matrix!G10*1000</f>
        <v>44.6930193439865</v>
      </c>
    </row>
    <row r="11" customFormat="false" ht="15" hidden="false" customHeight="false" outlineLevel="0" collapsed="false">
      <c r="A11" s="4" t="s">
        <v>55</v>
      </c>
      <c r="B11" s="5" t="n">
        <v>2520</v>
      </c>
      <c r="C11" s="5" t="n">
        <v>157</v>
      </c>
      <c r="D11" s="6" t="n">
        <f aca="false">C11/B11</f>
        <v>0.0623015873015873</v>
      </c>
      <c r="E11" s="5" t="n">
        <f aca="false">B11/Confusion_Matrix!G11*1000</f>
        <v>57.9790171176146</v>
      </c>
    </row>
    <row r="12" customFormat="false" ht="15" hidden="false" customHeight="false" outlineLevel="0" collapsed="false">
      <c r="A12" s="4" t="s">
        <v>61</v>
      </c>
      <c r="B12" s="5" t="n">
        <v>1577</v>
      </c>
      <c r="C12" s="5" t="n">
        <v>387</v>
      </c>
      <c r="D12" s="6" t="n">
        <f aca="false">C12/B12</f>
        <v>0.245402663284718</v>
      </c>
      <c r="E12" s="5" t="n">
        <f aca="false">B12/Confusion_Matrix!G12*1000</f>
        <v>35.8343937465915</v>
      </c>
    </row>
    <row r="13" customFormat="false" ht="15" hidden="false" customHeight="false" outlineLevel="0" collapsed="false">
      <c r="A13" s="4" t="s">
        <v>67</v>
      </c>
      <c r="B13" s="5" t="n">
        <v>1040</v>
      </c>
      <c r="C13" s="5" t="n">
        <v>279</v>
      </c>
      <c r="D13" s="6" t="n">
        <f aca="false">C13/B13</f>
        <v>0.268269230769231</v>
      </c>
      <c r="E13" s="5" t="n">
        <f aca="false">B13/Confusion_Matrix!G13*1000</f>
        <v>13.2773302352896</v>
      </c>
    </row>
    <row r="14" customFormat="false" ht="15" hidden="false" customHeight="false" outlineLevel="0" collapsed="false">
      <c r="A14" s="4" t="s">
        <v>72</v>
      </c>
      <c r="B14" s="5" t="n">
        <v>2251</v>
      </c>
      <c r="C14" s="5" t="n">
        <v>170</v>
      </c>
      <c r="D14" s="6" t="n">
        <f aca="false">C14/B14</f>
        <v>0.075521990226566</v>
      </c>
      <c r="E14" s="5" t="n">
        <f aca="false">B14/Confusion_Matrix!G14*1000</f>
        <v>31.5991914200685</v>
      </c>
    </row>
    <row r="15" customFormat="false" ht="15" hidden="false" customHeight="false" outlineLevel="0" collapsed="false">
      <c r="A15" s="4" t="s">
        <v>77</v>
      </c>
      <c r="B15" s="5" t="n">
        <v>1174</v>
      </c>
      <c r="C15" s="5" t="n">
        <v>267</v>
      </c>
      <c r="D15" s="6" t="n">
        <f aca="false">C15/B15</f>
        <v>0.227427597955707</v>
      </c>
      <c r="E15" s="5" t="n">
        <f aca="false">B15/Confusion_Matrix!G15*1000</f>
        <v>14.2622851242179</v>
      </c>
    </row>
    <row r="16" customFormat="false" ht="15" hidden="false" customHeight="false" outlineLevel="0" collapsed="false">
      <c r="A16" s="4" t="s">
        <v>80</v>
      </c>
      <c r="B16" s="5" t="n">
        <v>2797</v>
      </c>
      <c r="C16" s="5" t="n">
        <v>33</v>
      </c>
      <c r="D16" s="6" t="n">
        <f aca="false">C16/B16</f>
        <v>0.0117983553807651</v>
      </c>
      <c r="E16" s="5" t="n">
        <f aca="false">B16/Confusion_Matrix!G16*1000</f>
        <v>86.6722444299836</v>
      </c>
    </row>
    <row r="17" customFormat="false" ht="15" hidden="false" customHeight="false" outlineLevel="0" collapsed="false">
      <c r="A17" s="4" t="s">
        <v>83</v>
      </c>
      <c r="B17" s="5" t="n">
        <v>2095</v>
      </c>
      <c r="C17" s="5" t="n">
        <v>306</v>
      </c>
      <c r="D17" s="6" t="n">
        <f aca="false">C17/B17</f>
        <v>0.146062052505967</v>
      </c>
      <c r="E17" s="5" t="n">
        <f aca="false">B17/Confusion_Matrix!G17*1000</f>
        <v>47.9844251030692</v>
      </c>
    </row>
    <row r="18" customFormat="false" ht="15" hidden="false" customHeight="false" outlineLevel="0" collapsed="false">
      <c r="A18" s="4" t="s">
        <v>86</v>
      </c>
      <c r="B18" s="5" t="n">
        <v>2808</v>
      </c>
      <c r="C18" s="5" t="n">
        <v>394</v>
      </c>
      <c r="D18" s="6" t="n">
        <f aca="false">C18/B18</f>
        <v>0.14031339031339</v>
      </c>
      <c r="E18" s="5" t="n">
        <f aca="false">B18/Confusion_Matrix!G18*1000</f>
        <v>44.6728288018836</v>
      </c>
    </row>
    <row r="19" customFormat="false" ht="15" hidden="false" customHeight="false" outlineLevel="0" collapsed="false">
      <c r="A19" s="4" t="s">
        <v>89</v>
      </c>
      <c r="B19" s="5" t="n">
        <v>2246</v>
      </c>
      <c r="C19" s="5" t="n">
        <v>318</v>
      </c>
      <c r="D19" s="6" t="n">
        <f aca="false">C19/B19</f>
        <v>0.141585040071238</v>
      </c>
      <c r="E19" s="5" t="n">
        <f aca="false">B19/Confusion_Matrix!G19*1000</f>
        <v>48.4887737478411</v>
      </c>
    </row>
    <row r="20" customFormat="false" ht="15" hidden="false" customHeight="false" outlineLevel="0" collapsed="false">
      <c r="A20" s="4" t="s">
        <v>92</v>
      </c>
      <c r="B20" s="5" t="n">
        <v>1061</v>
      </c>
      <c r="C20" s="5" t="n">
        <v>79</v>
      </c>
      <c r="D20" s="6" t="n">
        <f aca="false">C20/B20</f>
        <v>0.0744580584354383</v>
      </c>
      <c r="E20" s="5" t="n">
        <f aca="false">B20/Confusion_Matrix!G20*1000</f>
        <v>18.0249052885514</v>
      </c>
    </row>
    <row r="21" customFormat="false" ht="15" hidden="false" customHeight="false" outlineLevel="0" collapsed="false">
      <c r="A21" s="4" t="s">
        <v>95</v>
      </c>
      <c r="B21" s="5" t="n">
        <v>2734</v>
      </c>
      <c r="C21" s="5" t="n">
        <v>45</v>
      </c>
      <c r="D21" s="6" t="n">
        <f aca="false">C21/B21</f>
        <v>0.0164594001463058</v>
      </c>
      <c r="E21" s="5" t="n">
        <f aca="false">B21/Confusion_Matrix!G21*1000</f>
        <v>65.2241334064938</v>
      </c>
    </row>
    <row r="22" customFormat="false" ht="15" hidden="false" customHeight="false" outlineLevel="0" collapsed="false">
      <c r="A22" s="4" t="s">
        <v>98</v>
      </c>
      <c r="B22" s="5" t="n">
        <v>773</v>
      </c>
      <c r="C22" s="5" t="n">
        <v>374</v>
      </c>
      <c r="D22" s="6" t="n">
        <f aca="false">C22/B22</f>
        <v>0.483829236739974</v>
      </c>
      <c r="E22" s="5" t="n">
        <f aca="false">B22/Confusion_Matrix!G22*1000</f>
        <v>20.9235599826765</v>
      </c>
    </row>
    <row r="23" customFormat="false" ht="15" hidden="false" customHeight="false" outlineLevel="0" collapsed="false">
      <c r="A23" s="4" t="s">
        <v>101</v>
      </c>
      <c r="B23" s="5" t="n">
        <v>1287</v>
      </c>
      <c r="C23" s="5" t="n">
        <v>325</v>
      </c>
      <c r="D23" s="6" t="n">
        <f aca="false">C23/B23</f>
        <v>0.252525252525253</v>
      </c>
      <c r="E23" s="5" t="n">
        <f aca="false">B23/Confusion_Matrix!G23*1000</f>
        <v>16.7634876390445</v>
      </c>
    </row>
    <row r="24" customFormat="false" ht="15" hidden="false" customHeight="false" outlineLevel="0" collapsed="false">
      <c r="A24" s="4" t="s">
        <v>104</v>
      </c>
      <c r="B24" s="5" t="n">
        <v>1193</v>
      </c>
      <c r="C24" s="5" t="n">
        <v>49</v>
      </c>
      <c r="D24" s="6" t="n">
        <f aca="false">C24/B24</f>
        <v>0.0410729253981559</v>
      </c>
      <c r="E24" s="5" t="n">
        <f aca="false">B24/Confusion_Matrix!G24*1000</f>
        <v>52.0710575705993</v>
      </c>
    </row>
    <row r="25" customFormat="false" ht="15" hidden="false" customHeight="false" outlineLevel="0" collapsed="false">
      <c r="A25" s="4" t="s">
        <v>107</v>
      </c>
      <c r="B25" s="5" t="n">
        <v>2676</v>
      </c>
      <c r="C25" s="5" t="n">
        <v>155</v>
      </c>
      <c r="D25" s="6" t="n">
        <f aca="false">C25/B25</f>
        <v>0.0579222720478326</v>
      </c>
      <c r="E25" s="5" t="n">
        <f aca="false">B25/Confusion_Matrix!G25*1000</f>
        <v>54.5210056639909</v>
      </c>
    </row>
    <row r="26" customFormat="false" ht="15" hidden="false" customHeight="false" outlineLevel="0" collapsed="false">
      <c r="A26" s="4" t="s">
        <v>109</v>
      </c>
      <c r="B26" s="5" t="n">
        <v>909</v>
      </c>
      <c r="C26" s="5" t="n">
        <v>171</v>
      </c>
      <c r="D26" s="6" t="n">
        <f aca="false">C26/B26</f>
        <v>0.188118811881188</v>
      </c>
      <c r="E26" s="5" t="n">
        <f aca="false">B26/Confusion_Matrix!G26*1000</f>
        <v>14.2280240420736</v>
      </c>
    </row>
    <row r="27" customFormat="false" ht="15" hidden="false" customHeight="false" outlineLevel="0" collapsed="false">
      <c r="A27" s="4" t="s">
        <v>111</v>
      </c>
      <c r="B27" s="5" t="n">
        <v>1162</v>
      </c>
      <c r="C27" s="5" t="n">
        <v>227</v>
      </c>
      <c r="D27" s="6" t="n">
        <f aca="false">C27/B27</f>
        <v>0.195352839931153</v>
      </c>
      <c r="E27" s="5" t="n">
        <f aca="false">B27/Confusion_Matrix!G27*1000</f>
        <v>29.7574841865349</v>
      </c>
    </row>
    <row r="28" customFormat="false" ht="15" hidden="false" customHeight="false" outlineLevel="0" collapsed="false">
      <c r="A28" s="4" t="s">
        <v>113</v>
      </c>
      <c r="B28" s="5" t="n">
        <v>2719</v>
      </c>
      <c r="C28" s="5" t="n">
        <v>161</v>
      </c>
      <c r="D28" s="6" t="n">
        <f aca="false">C28/B28</f>
        <v>0.0592129459360059</v>
      </c>
      <c r="E28" s="5" t="n">
        <f aca="false">B28/Confusion_Matrix!G28*1000</f>
        <v>71.8380934767101</v>
      </c>
    </row>
    <row r="29" customFormat="false" ht="15" hidden="false" customHeight="false" outlineLevel="0" collapsed="false">
      <c r="A29" s="4" t="s">
        <v>115</v>
      </c>
      <c r="B29" s="5" t="n">
        <v>1152</v>
      </c>
      <c r="C29" s="5" t="n">
        <v>219</v>
      </c>
      <c r="D29" s="6" t="n">
        <f aca="false">C29/B29</f>
        <v>0.190104166666667</v>
      </c>
      <c r="E29" s="5" t="n">
        <f aca="false">B29/Confusion_Matrix!G29*1000</f>
        <v>19.3107147646507</v>
      </c>
    </row>
    <row r="30" customFormat="false" ht="15" hidden="false" customHeight="false" outlineLevel="0" collapsed="false">
      <c r="A30" s="4" t="s">
        <v>117</v>
      </c>
      <c r="B30" s="5" t="n">
        <v>1495</v>
      </c>
      <c r="C30" s="5" t="n">
        <v>225</v>
      </c>
      <c r="D30" s="6" t="n">
        <f aca="false">C30/B30</f>
        <v>0.150501672240803</v>
      </c>
      <c r="E30" s="5" t="n">
        <f aca="false">B30/Confusion_Matrix!G30*1000</f>
        <v>28.3192210793506</v>
      </c>
    </row>
    <row r="31" customFormat="false" ht="15" hidden="false" customHeight="false" outlineLevel="0" collapsed="false">
      <c r="A31" s="4" t="s">
        <v>119</v>
      </c>
      <c r="B31" s="5" t="n">
        <v>1238</v>
      </c>
      <c r="C31" s="5" t="n">
        <v>101</v>
      </c>
      <c r="D31" s="6" t="n">
        <f aca="false">C31/B31</f>
        <v>0.0815831987075929</v>
      </c>
      <c r="E31" s="5" t="n">
        <f aca="false">B31/Confusion_Matrix!G31*1000</f>
        <v>35.9204990570144</v>
      </c>
    </row>
    <row r="32" customFormat="false" ht="15" hidden="false" customHeight="false" outlineLevel="0" collapsed="false">
      <c r="A32" s="4" t="s">
        <v>121</v>
      </c>
      <c r="B32" s="5" t="n">
        <v>744</v>
      </c>
      <c r="C32" s="5" t="n">
        <v>73</v>
      </c>
      <c r="D32" s="6" t="n">
        <f aca="false">C32/B32</f>
        <v>0.0981182795698925</v>
      </c>
      <c r="E32" s="5" t="n">
        <f aca="false">B32/Confusion_Matrix!G32*1000</f>
        <v>9.87077772176082</v>
      </c>
    </row>
    <row r="33" customFormat="false" ht="15" hidden="false" customHeight="false" outlineLevel="0" collapsed="false">
      <c r="A33" s="4" t="s">
        <v>123</v>
      </c>
      <c r="B33" s="5" t="n">
        <v>2078</v>
      </c>
      <c r="C33" s="5" t="n">
        <v>418</v>
      </c>
      <c r="D33" s="6" t="n">
        <f aca="false">C33/B33</f>
        <v>0.201154956689124</v>
      </c>
      <c r="E33" s="5" t="n">
        <f aca="false">B33/Confusion_Matrix!G33*1000</f>
        <v>40.8403922878874</v>
      </c>
    </row>
    <row r="34" customFormat="false" ht="15" hidden="false" customHeight="false" outlineLevel="0" collapsed="false">
      <c r="A34" s="4" t="s">
        <v>125</v>
      </c>
      <c r="B34" s="5" t="n">
        <v>1811</v>
      </c>
      <c r="C34" s="5" t="n">
        <v>96</v>
      </c>
      <c r="D34" s="6" t="n">
        <f aca="false">C34/B34</f>
        <v>0.0530093870789619</v>
      </c>
      <c r="E34" s="5" t="n">
        <f aca="false">B34/Confusion_Matrix!G34*1000</f>
        <v>27.3817263641724</v>
      </c>
    </row>
    <row r="35" customFormat="false" ht="15" hidden="false" customHeight="false" outlineLevel="0" collapsed="false">
      <c r="A35" s="4" t="s">
        <v>127</v>
      </c>
      <c r="B35" s="5" t="n">
        <v>1316</v>
      </c>
      <c r="C35" s="5" t="n">
        <v>90</v>
      </c>
      <c r="D35" s="6" t="n">
        <f aca="false">C35/B35</f>
        <v>0.0683890577507599</v>
      </c>
      <c r="E35" s="5" t="n">
        <f aca="false">B35/Confusion_Matrix!G35*1000</f>
        <v>22.53540421597</v>
      </c>
    </row>
    <row r="36" customFormat="false" ht="15" hidden="false" customHeight="false" outlineLevel="0" collapsed="false">
      <c r="A36" s="4" t="s">
        <v>129</v>
      </c>
      <c r="B36" s="5" t="n">
        <v>3071</v>
      </c>
      <c r="C36" s="5" t="n">
        <v>125</v>
      </c>
      <c r="D36" s="6" t="n">
        <f aca="false">C36/B36</f>
        <v>0.040703353956366</v>
      </c>
      <c r="E36" s="5" t="n">
        <f aca="false">B36/Confusion_Matrix!G36*1000</f>
        <v>69.569354144485</v>
      </c>
    </row>
    <row r="37" customFormat="false" ht="15" hidden="false" customHeight="false" outlineLevel="0" collapsed="false">
      <c r="A37" s="4" t="s">
        <v>131</v>
      </c>
      <c r="B37" s="5" t="n">
        <v>2769</v>
      </c>
      <c r="C37" s="5" t="n">
        <v>347</v>
      </c>
      <c r="D37" s="6" t="n">
        <f aca="false">C37/B37</f>
        <v>0.125315998555435</v>
      </c>
      <c r="E37" s="5" t="n">
        <f aca="false">B37/Confusion_Matrix!G37*1000</f>
        <v>39.4124428882531</v>
      </c>
    </row>
    <row r="38" customFormat="false" ht="15" hidden="false" customHeight="false" outlineLevel="0" collapsed="false">
      <c r="A38" s="4" t="s">
        <v>133</v>
      </c>
      <c r="B38" s="5" t="n">
        <v>1086</v>
      </c>
      <c r="C38" s="5" t="n">
        <v>166</v>
      </c>
      <c r="D38" s="6" t="n">
        <f aca="false">C38/B38</f>
        <v>0.152854511970534</v>
      </c>
      <c r="E38" s="5" t="n">
        <f aca="false">B38/Confusion_Matrix!G38*1000</f>
        <v>22.8747156458</v>
      </c>
    </row>
    <row r="39" customFormat="false" ht="15" hidden="false" customHeight="false" outlineLevel="0" collapsed="false">
      <c r="A39" s="4" t="s">
        <v>135</v>
      </c>
      <c r="B39" s="5" t="n">
        <v>2729</v>
      </c>
      <c r="C39" s="5" t="n">
        <v>120</v>
      </c>
      <c r="D39" s="6" t="n">
        <f aca="false">C39/B39</f>
        <v>0.0439721509710517</v>
      </c>
      <c r="E39" s="5" t="n">
        <f aca="false">B39/Confusion_Matrix!G39*1000</f>
        <v>47.3718927926677</v>
      </c>
    </row>
    <row r="40" customFormat="false" ht="15" hidden="false" customHeight="false" outlineLevel="0" collapsed="false">
      <c r="A40" s="4" t="s">
        <v>137</v>
      </c>
      <c r="B40" s="5" t="n">
        <v>1422</v>
      </c>
      <c r="C40" s="5" t="n">
        <v>140</v>
      </c>
      <c r="D40" s="6" t="n">
        <f aca="false">C40/B40</f>
        <v>0.0984528832630098</v>
      </c>
      <c r="E40" s="5" t="n">
        <f aca="false">B40/Confusion_Matrix!G40*1000</f>
        <v>49.4557089694988</v>
      </c>
    </row>
    <row r="41" customFormat="false" ht="15" hidden="false" customHeight="false" outlineLevel="0" collapsed="false">
      <c r="A41" s="4" t="s">
        <v>139</v>
      </c>
      <c r="B41" s="5" t="n">
        <v>2154</v>
      </c>
      <c r="C41" s="5" t="n">
        <v>246</v>
      </c>
      <c r="D41" s="6" t="n">
        <f aca="false">C41/B41</f>
        <v>0.114206128133705</v>
      </c>
      <c r="E41" s="5" t="n">
        <f aca="false">B41/Confusion_Matrix!G41*1000</f>
        <v>54.3953130129549</v>
      </c>
    </row>
    <row r="42" customFormat="false" ht="15" hidden="false" customHeight="false" outlineLevel="0" collapsed="false">
      <c r="A42" s="4" t="s">
        <v>141</v>
      </c>
      <c r="B42" s="5" t="n">
        <v>789</v>
      </c>
      <c r="C42" s="5" t="n">
        <v>216</v>
      </c>
      <c r="D42" s="6" t="n">
        <f aca="false">C42/B42</f>
        <v>0.273764258555133</v>
      </c>
      <c r="E42" s="5" t="n">
        <f aca="false">B42/Confusion_Matrix!G42*1000</f>
        <v>18.6666035771742</v>
      </c>
    </row>
    <row r="43" customFormat="false" ht="15" hidden="false" customHeight="false" outlineLevel="0" collapsed="false">
      <c r="A43" s="4" t="s">
        <v>143</v>
      </c>
      <c r="B43" s="5" t="n">
        <v>3040</v>
      </c>
      <c r="C43" s="5" t="n">
        <v>188</v>
      </c>
      <c r="D43" s="6" t="n">
        <f aca="false">C43/B43</f>
        <v>0.0618421052631579</v>
      </c>
      <c r="E43" s="5" t="n">
        <f aca="false">B43/Confusion_Matrix!G43*1000</f>
        <v>40.9355937680945</v>
      </c>
    </row>
    <row r="44" customFormat="false" ht="15" hidden="false" customHeight="false" outlineLevel="0" collapsed="false">
      <c r="A44" s="4" t="s">
        <v>145</v>
      </c>
      <c r="B44" s="5" t="n">
        <v>2560</v>
      </c>
      <c r="C44" s="5" t="n">
        <v>363</v>
      </c>
      <c r="D44" s="6" t="n">
        <f aca="false">C44/B44</f>
        <v>0.141796875</v>
      </c>
      <c r="E44" s="5" t="n">
        <f aca="false">B44/Confusion_Matrix!G44*1000</f>
        <v>71.9242547691962</v>
      </c>
    </row>
    <row r="45" customFormat="false" ht="15" hidden="false" customHeight="false" outlineLevel="0" collapsed="false">
      <c r="A45" s="4" t="s">
        <v>147</v>
      </c>
      <c r="B45" s="5" t="n">
        <v>1691</v>
      </c>
      <c r="C45" s="5" t="n">
        <v>114</v>
      </c>
      <c r="D45" s="6" t="n">
        <f aca="false">C45/B45</f>
        <v>0.0674157303370787</v>
      </c>
      <c r="E45" s="5" t="n">
        <f aca="false">B45/Confusion_Matrix!G45*1000</f>
        <v>40.2954843321816</v>
      </c>
    </row>
    <row r="46" customFormat="false" ht="15" hidden="false" customHeight="false" outlineLevel="0" collapsed="false">
      <c r="A46" s="4" t="s">
        <v>149</v>
      </c>
      <c r="B46" s="5" t="n">
        <v>929</v>
      </c>
      <c r="C46" s="5" t="n">
        <v>294</v>
      </c>
      <c r="D46" s="6" t="n">
        <f aca="false">C46/B46</f>
        <v>0.316469321851453</v>
      </c>
      <c r="E46" s="5" t="n">
        <f aca="false">B46/Confusion_Matrix!G46*1000</f>
        <v>26.8714566701377</v>
      </c>
    </row>
    <row r="47" customFormat="false" ht="15" hidden="false" customHeight="false" outlineLevel="0" collapsed="false">
      <c r="A47" s="4" t="s">
        <v>151</v>
      </c>
      <c r="B47" s="5" t="n">
        <v>1644</v>
      </c>
      <c r="C47" s="5" t="n">
        <v>262</v>
      </c>
      <c r="D47" s="6" t="n">
        <f aca="false">C47/B47</f>
        <v>0.159367396593674</v>
      </c>
      <c r="E47" s="5" t="n">
        <f aca="false">B47/Confusion_Matrix!G47*1000</f>
        <v>46.5669612508498</v>
      </c>
    </row>
    <row r="48" customFormat="false" ht="15" hidden="false" customHeight="false" outlineLevel="0" collapsed="false">
      <c r="A48" s="4" t="s">
        <v>153</v>
      </c>
      <c r="B48" s="5" t="n">
        <v>365</v>
      </c>
      <c r="C48" s="5" t="n">
        <v>54</v>
      </c>
      <c r="D48" s="6" t="n">
        <f aca="false">C48/B48</f>
        <v>0.147945205479452</v>
      </c>
      <c r="E48" s="5" t="n">
        <f aca="false">B48/Confusion_Matrix!G48*1000</f>
        <v>11.5192829640851</v>
      </c>
    </row>
    <row r="49" customFormat="false" ht="15" hidden="false" customHeight="false" outlineLevel="0" collapsed="false">
      <c r="A49" s="4" t="s">
        <v>155</v>
      </c>
      <c r="B49" s="5" t="n">
        <v>2853</v>
      </c>
      <c r="C49" s="5" t="n">
        <v>420</v>
      </c>
      <c r="D49" s="6" t="n">
        <f aca="false">C49/B49</f>
        <v>0.147213459516299</v>
      </c>
      <c r="E49" s="5" t="n">
        <f aca="false">B49/Confusion_Matrix!G49*1000</f>
        <v>37.5745762488641</v>
      </c>
    </row>
    <row r="50" customFormat="false" ht="15" hidden="false" customHeight="false" outlineLevel="0" collapsed="false">
      <c r="A50" s="4" t="s">
        <v>157</v>
      </c>
      <c r="B50" s="5" t="n">
        <v>1057</v>
      </c>
      <c r="C50" s="5" t="n">
        <v>284</v>
      </c>
      <c r="D50" s="6" t="n">
        <f aca="false">C50/B50</f>
        <v>0.268684957426679</v>
      </c>
      <c r="E50" s="5" t="n">
        <f aca="false">B50/Confusion_Matrix!G50*1000</f>
        <v>15.3301715760925</v>
      </c>
    </row>
    <row r="51" customFormat="false" ht="15" hidden="false" customHeight="false" outlineLevel="0" collapsed="false">
      <c r="A51" s="4" t="s">
        <v>159</v>
      </c>
      <c r="B51" s="5" t="n">
        <v>2934</v>
      </c>
      <c r="C51" s="5" t="n">
        <v>154</v>
      </c>
      <c r="D51" s="6" t="n">
        <f aca="false">C51/B51</f>
        <v>0.0524880708929789</v>
      </c>
      <c r="E51" s="5" t="n">
        <f aca="false">B51/Confusion_Matrix!G51*1000</f>
        <v>79.6525044115651</v>
      </c>
    </row>
    <row r="52" customFormat="false" ht="15" hidden="false" customHeight="false" outlineLevel="0" collapsed="false">
      <c r="A52" s="4" t="s">
        <v>161</v>
      </c>
      <c r="B52" s="5" t="n">
        <v>1427</v>
      </c>
      <c r="C52" s="5" t="n">
        <v>105</v>
      </c>
      <c r="D52" s="6" t="n">
        <f aca="false">C52/B52</f>
        <v>0.0735809390329362</v>
      </c>
      <c r="E52" s="5" t="n">
        <f aca="false">B52/Confusion_Matrix!G52*1000</f>
        <v>25.1577871020063</v>
      </c>
    </row>
    <row r="53" customFormat="false" ht="15" hidden="false" customHeight="false" outlineLevel="0" collapsed="false">
      <c r="A53" s="4" t="s">
        <v>163</v>
      </c>
      <c r="B53" s="5" t="n">
        <v>789</v>
      </c>
      <c r="C53" s="5" t="n">
        <v>276</v>
      </c>
      <c r="D53" s="6" t="n">
        <f aca="false">C53/B53</f>
        <v>0.349809885931559</v>
      </c>
      <c r="E53" s="5" t="n">
        <f aca="false">B53/Confusion_Matrix!G53*1000</f>
        <v>28.12633680308</v>
      </c>
    </row>
    <row r="54" customFormat="false" ht="15" hidden="false" customHeight="false" outlineLevel="0" collapsed="false">
      <c r="A54" s="4" t="s">
        <v>165</v>
      </c>
      <c r="B54" s="5" t="n">
        <v>2141</v>
      </c>
      <c r="C54" s="5" t="n">
        <v>377</v>
      </c>
      <c r="D54" s="6" t="n">
        <f aca="false">C54/B54</f>
        <v>0.176085941148996</v>
      </c>
      <c r="E54" s="5" t="n">
        <f aca="false">B54/Confusion_Matrix!G54*1000</f>
        <v>48.6115841336875</v>
      </c>
    </row>
    <row r="55" customFormat="false" ht="15" hidden="false" customHeight="false" outlineLevel="0" collapsed="false">
      <c r="A55" s="4" t="s">
        <v>167</v>
      </c>
      <c r="B55" s="5" t="n">
        <v>2321</v>
      </c>
      <c r="C55" s="5" t="n">
        <v>67</v>
      </c>
      <c r="D55" s="6" t="n">
        <f aca="false">C55/B55</f>
        <v>0.028866867729427</v>
      </c>
      <c r="E55" s="5" t="n">
        <f aca="false">B55/Confusion_Matrix!G55*1000</f>
        <v>33.0989832152076</v>
      </c>
    </row>
    <row r="56" customFormat="false" ht="15" hidden="false" customHeight="false" outlineLevel="0" collapsed="false">
      <c r="A56" s="4" t="s">
        <v>169</v>
      </c>
      <c r="B56" s="5" t="n">
        <v>1034</v>
      </c>
      <c r="C56" s="5" t="n">
        <v>319</v>
      </c>
      <c r="D56" s="6" t="n">
        <f aca="false">C56/B56</f>
        <v>0.308510638297872</v>
      </c>
      <c r="E56" s="5" t="n">
        <f aca="false">B56/Confusion_Matrix!G56*1000</f>
        <v>25.5504213101386</v>
      </c>
    </row>
    <row r="57" customFormat="false" ht="15" hidden="false" customHeight="false" outlineLevel="0" collapsed="false">
      <c r="A57" s="4" t="s">
        <v>171</v>
      </c>
      <c r="B57" s="5" t="n">
        <v>1135</v>
      </c>
      <c r="C57" s="5" t="n">
        <v>306</v>
      </c>
      <c r="D57" s="6" t="n">
        <f aca="false">C57/B57</f>
        <v>0.269603524229075</v>
      </c>
      <c r="E57" s="5" t="n">
        <f aca="false">B57/Confusion_Matrix!G57*1000</f>
        <v>30.1885788759741</v>
      </c>
    </row>
    <row r="58" customFormat="false" ht="15" hidden="false" customHeight="false" outlineLevel="0" collapsed="false">
      <c r="A58" s="4" t="s">
        <v>173</v>
      </c>
      <c r="B58" s="5" t="n">
        <v>2772</v>
      </c>
      <c r="C58" s="5" t="n">
        <v>78</v>
      </c>
      <c r="D58" s="6" t="n">
        <f aca="false">C58/B58</f>
        <v>0.0281385281385281</v>
      </c>
      <c r="E58" s="5" t="n">
        <f aca="false">B58/Confusion_Matrix!G58*1000</f>
        <v>57.1994552432834</v>
      </c>
    </row>
    <row r="59" customFormat="false" ht="15" hidden="false" customHeight="false" outlineLevel="0" collapsed="false">
      <c r="A59" s="4" t="s">
        <v>175</v>
      </c>
      <c r="B59" s="5" t="n">
        <v>1758</v>
      </c>
      <c r="C59" s="5" t="n">
        <v>115</v>
      </c>
      <c r="D59" s="6" t="n">
        <f aca="false">C59/B59</f>
        <v>0.065415244596132</v>
      </c>
      <c r="E59" s="5" t="n">
        <f aca="false">B59/Confusion_Matrix!G59*1000</f>
        <v>53.9164570937864</v>
      </c>
    </row>
    <row r="60" customFormat="false" ht="15" hidden="false" customHeight="false" outlineLevel="0" collapsed="false">
      <c r="A60" s="4" t="s">
        <v>177</v>
      </c>
      <c r="B60" s="5" t="n">
        <v>2003</v>
      </c>
      <c r="C60" s="5" t="n">
        <v>121</v>
      </c>
      <c r="D60" s="6" t="n">
        <f aca="false">C60/B60</f>
        <v>0.0604093859211183</v>
      </c>
      <c r="E60" s="5" t="n">
        <f aca="false">B60/Confusion_Matrix!G60*1000</f>
        <v>47.4385998152666</v>
      </c>
    </row>
    <row r="61" customFormat="false" ht="15" hidden="false" customHeight="false" outlineLevel="0" collapsed="false">
      <c r="A61" s="4" t="s">
        <v>179</v>
      </c>
      <c r="B61" s="5" t="n">
        <v>2220</v>
      </c>
      <c r="C61" s="5" t="n">
        <v>384</v>
      </c>
      <c r="D61" s="6" t="n">
        <f aca="false">C61/B61</f>
        <v>0.172972972972973</v>
      </c>
      <c r="E61" s="5" t="n">
        <f aca="false">B61/Confusion_Matrix!G61*1000</f>
        <v>39.3763635396158</v>
      </c>
    </row>
    <row r="62" customFormat="false" ht="15" hidden="false" customHeight="false" outlineLevel="0" collapsed="false">
      <c r="A62" s="4" t="s">
        <v>181</v>
      </c>
      <c r="B62" s="5" t="n">
        <v>2248</v>
      </c>
      <c r="C62" s="5" t="n">
        <v>34</v>
      </c>
      <c r="D62" s="6" t="n">
        <f aca="false">C62/B62</f>
        <v>0.0151245551601423</v>
      </c>
      <c r="E62" s="5" t="n">
        <f aca="false">B62/Confusion_Matrix!G62*1000</f>
        <v>25.5454545454545</v>
      </c>
    </row>
    <row r="63" customFormat="false" ht="15" hidden="false" customHeight="false" outlineLevel="0" collapsed="false">
      <c r="A63" s="4" t="s">
        <v>183</v>
      </c>
      <c r="B63" s="5" t="n">
        <v>2679</v>
      </c>
      <c r="C63" s="5" t="n">
        <v>186</v>
      </c>
      <c r="D63" s="6" t="n">
        <f aca="false">C63/B63</f>
        <v>0.0694288913773796</v>
      </c>
      <c r="E63" s="5" t="n">
        <f aca="false">B63/Confusion_Matrix!G63*1000</f>
        <v>42.7075196480097</v>
      </c>
    </row>
    <row r="64" customFormat="false" ht="15" hidden="false" customHeight="false" outlineLevel="0" collapsed="false">
      <c r="A64" s="4" t="s">
        <v>185</v>
      </c>
      <c r="B64" s="5" t="n">
        <v>3094</v>
      </c>
      <c r="C64" s="5" t="n">
        <v>289</v>
      </c>
      <c r="D64" s="6" t="n">
        <f aca="false">C64/B64</f>
        <v>0.0934065934065934</v>
      </c>
      <c r="E64" s="5" t="n">
        <f aca="false">B64/Confusion_Matrix!G64*1000</f>
        <v>40.1166936790924</v>
      </c>
    </row>
    <row r="65" customFormat="false" ht="15" hidden="false" customHeight="false" outlineLevel="0" collapsed="false">
      <c r="A65" s="4" t="s">
        <v>187</v>
      </c>
      <c r="B65" s="5" t="n">
        <v>3188</v>
      </c>
      <c r="C65" s="5" t="n">
        <v>213</v>
      </c>
      <c r="D65" s="6" t="n">
        <f aca="false">C65/B65</f>
        <v>0.0668130489335006</v>
      </c>
      <c r="E65" s="5" t="n">
        <f aca="false">B65/Confusion_Matrix!G65*1000</f>
        <v>36.5890049351544</v>
      </c>
    </row>
    <row r="66" customFormat="false" ht="15" hidden="false" customHeight="false" outlineLevel="0" collapsed="false">
      <c r="A66" s="4" t="s">
        <v>189</v>
      </c>
      <c r="B66" s="5" t="n">
        <v>2193</v>
      </c>
      <c r="C66" s="5" t="n">
        <v>211</v>
      </c>
      <c r="D66" s="6" t="n">
        <f aca="false">C66/B66</f>
        <v>0.0962152302781578</v>
      </c>
      <c r="E66" s="5" t="n">
        <f aca="false">B66/Confusion_Matrix!G66*1000</f>
        <v>37.1373897139761</v>
      </c>
    </row>
    <row r="67" customFormat="false" ht="15" hidden="false" customHeight="false" outlineLevel="0" collapsed="false">
      <c r="A67" s="4" t="s">
        <v>191</v>
      </c>
      <c r="B67" s="5" t="n">
        <v>3426</v>
      </c>
      <c r="C67" s="5" t="n">
        <v>296</v>
      </c>
      <c r="D67" s="6" t="n">
        <f aca="false">C67/B67</f>
        <v>0.0863981319322826</v>
      </c>
      <c r="E67" s="5" t="n">
        <f aca="false">B67/Confusion_Matrix!G67*1000</f>
        <v>38.3152903283529</v>
      </c>
    </row>
    <row r="68" customFormat="false" ht="15" hidden="false" customHeight="false" outlineLevel="0" collapsed="false">
      <c r="A68" s="4" t="s">
        <v>193</v>
      </c>
      <c r="B68" s="5" t="n">
        <v>2044</v>
      </c>
      <c r="C68" s="5" t="n">
        <v>205</v>
      </c>
      <c r="D68" s="6" t="n">
        <f aca="false">C68/B68</f>
        <v>0.100293542074364</v>
      </c>
      <c r="E68" s="5" t="n">
        <f aca="false">B68/Confusion_Matrix!G68*1000</f>
        <v>70.7413303800097</v>
      </c>
    </row>
    <row r="69" customFormat="false" ht="15" hidden="false" customHeight="false" outlineLevel="0" collapsed="false">
      <c r="A69" s="4" t="s">
        <v>195</v>
      </c>
      <c r="B69" s="5" t="n">
        <v>992</v>
      </c>
      <c r="C69" s="5" t="n">
        <v>360</v>
      </c>
      <c r="D69" s="6" t="n">
        <f aca="false">C69/B69</f>
        <v>0.362903225806452</v>
      </c>
      <c r="E69" s="5" t="n">
        <f aca="false">B69/Confusion_Matrix!G69*1000</f>
        <v>14.2993052152103</v>
      </c>
    </row>
    <row r="70" customFormat="false" ht="15" hidden="false" customHeight="false" outlineLevel="0" collapsed="false">
      <c r="A70" s="4" t="s">
        <v>197</v>
      </c>
      <c r="B70" s="5" t="n">
        <v>1234</v>
      </c>
      <c r="C70" s="5" t="n">
        <v>95</v>
      </c>
      <c r="D70" s="6" t="n">
        <f aca="false">C70/B70</f>
        <v>0.0769854132901135</v>
      </c>
      <c r="E70" s="5" t="n">
        <f aca="false">B70/Confusion_Matrix!G70*1000</f>
        <v>14.5427975439878</v>
      </c>
    </row>
    <row r="71" customFormat="false" ht="15" hidden="false" customHeight="false" outlineLevel="0" collapsed="false">
      <c r="A71" s="4" t="s">
        <v>199</v>
      </c>
      <c r="B71" s="5" t="n">
        <v>1766</v>
      </c>
      <c r="C71" s="5" t="n">
        <v>115</v>
      </c>
      <c r="D71" s="6" t="n">
        <f aca="false">C71/B71</f>
        <v>0.065118912797282</v>
      </c>
      <c r="E71" s="5" t="n">
        <f aca="false">B71/Confusion_Matrix!G71*1000</f>
        <v>36.955657396363</v>
      </c>
    </row>
    <row r="72" customFormat="false" ht="15" hidden="false" customHeight="false" outlineLevel="0" collapsed="false">
      <c r="A72" s="4" t="s">
        <v>201</v>
      </c>
      <c r="B72" s="5" t="n">
        <v>441</v>
      </c>
      <c r="C72" s="5" t="n">
        <v>46</v>
      </c>
      <c r="D72" s="6" t="n">
        <f aca="false">C72/B72</f>
        <v>0.104308390022676</v>
      </c>
      <c r="E72" s="5" t="n">
        <f aca="false">B72/Confusion_Matrix!G72*1000</f>
        <v>8.32342449464923</v>
      </c>
    </row>
    <row r="73" customFormat="false" ht="15" hidden="false" customHeight="false" outlineLevel="0" collapsed="false">
      <c r="A73" s="4" t="s">
        <v>203</v>
      </c>
      <c r="B73" s="5" t="n">
        <v>2133</v>
      </c>
      <c r="C73" s="5" t="n">
        <v>213</v>
      </c>
      <c r="D73" s="6" t="n">
        <f aca="false">C73/B73</f>
        <v>0.09985935302391</v>
      </c>
      <c r="E73" s="5" t="n">
        <f aca="false">B73/Confusion_Matrix!G73*1000</f>
        <v>27.4694140373471</v>
      </c>
    </row>
    <row r="74" customFormat="false" ht="15" hidden="false" customHeight="false" outlineLevel="0" collapsed="false">
      <c r="A74" s="4" t="s">
        <v>205</v>
      </c>
      <c r="B74" s="5" t="n">
        <v>1987</v>
      </c>
      <c r="C74" s="5" t="n">
        <v>236</v>
      </c>
      <c r="D74" s="6" t="n">
        <f aca="false">C74/B74</f>
        <v>0.118772018117765</v>
      </c>
      <c r="E74" s="5" t="n">
        <f aca="false">B74/Confusion_Matrix!G74*1000</f>
        <v>88.6459959848316</v>
      </c>
    </row>
    <row r="75" customFormat="false" ht="15" hidden="false" customHeight="false" outlineLevel="0" collapsed="false">
      <c r="A75" s="4" t="s">
        <v>207</v>
      </c>
      <c r="B75" s="5" t="n">
        <v>825</v>
      </c>
      <c r="C75" s="5" t="n">
        <v>40</v>
      </c>
      <c r="D75" s="6" t="n">
        <f aca="false">C75/B75</f>
        <v>0.0484848484848485</v>
      </c>
      <c r="E75" s="5" t="n">
        <f aca="false">B75/Confusion_Matrix!G75*1000</f>
        <v>16.1340790863222</v>
      </c>
    </row>
    <row r="76" customFormat="false" ht="15" hidden="false" customHeight="false" outlineLevel="0" collapsed="false">
      <c r="A76" s="4" t="s">
        <v>209</v>
      </c>
      <c r="B76" s="5" t="n">
        <v>903</v>
      </c>
      <c r="C76" s="5" t="n">
        <v>314</v>
      </c>
      <c r="D76" s="6" t="n">
        <f aca="false">C76/B76</f>
        <v>0.347729789590255</v>
      </c>
      <c r="E76" s="5" t="n">
        <f aca="false">B76/Confusion_Matrix!G76*1000</f>
        <v>10.5499281483299</v>
      </c>
    </row>
    <row r="77" customFormat="false" ht="15" hidden="false" customHeight="false" outlineLevel="0" collapsed="false">
      <c r="A77" s="4" t="s">
        <v>211</v>
      </c>
      <c r="B77" s="5" t="n">
        <v>653</v>
      </c>
      <c r="C77" s="5" t="n">
        <v>53</v>
      </c>
      <c r="D77" s="6" t="n">
        <f aca="false">C77/B77</f>
        <v>0.0811638591117917</v>
      </c>
      <c r="E77" s="5" t="n">
        <f aca="false">B77/Confusion_Matrix!G77*1000</f>
        <v>10.9169940650339</v>
      </c>
    </row>
    <row r="78" customFormat="false" ht="15" hidden="false" customHeight="false" outlineLevel="0" collapsed="false">
      <c r="A78" s="4" t="s">
        <v>213</v>
      </c>
      <c r="B78" s="5" t="n">
        <v>1728</v>
      </c>
      <c r="C78" s="5" t="n">
        <v>444</v>
      </c>
      <c r="D78" s="6" t="n">
        <f aca="false">C78/B78</f>
        <v>0.256944444444444</v>
      </c>
      <c r="E78" s="5" t="n">
        <f aca="false">B78/Confusion_Matrix!G78*1000</f>
        <v>77.9466823041184</v>
      </c>
    </row>
    <row r="79" customFormat="false" ht="15" hidden="false" customHeight="false" outlineLevel="0" collapsed="false">
      <c r="A79" s="4" t="s">
        <v>215</v>
      </c>
      <c r="B79" s="5" t="n">
        <v>2541</v>
      </c>
      <c r="C79" s="5" t="n">
        <v>224</v>
      </c>
      <c r="D79" s="6" t="n">
        <f aca="false">C79/B79</f>
        <v>0.0881542699724518</v>
      </c>
      <c r="E79" s="5" t="n">
        <f aca="false">B79/Confusion_Matrix!G79*1000</f>
        <v>38.1336855058979</v>
      </c>
    </row>
    <row r="80" customFormat="false" ht="15" hidden="false" customHeight="false" outlineLevel="0" collapsed="false">
      <c r="A80" s="4" t="s">
        <v>217</v>
      </c>
      <c r="B80" s="5" t="n">
        <v>2669</v>
      </c>
      <c r="C80" s="5" t="n">
        <v>65</v>
      </c>
      <c r="D80" s="6" t="n">
        <f aca="false">C80/B80</f>
        <v>0.0243536905207943</v>
      </c>
      <c r="E80" s="5" t="n">
        <f aca="false">B80/Confusion_Matrix!G80*1000</f>
        <v>103.00644513913</v>
      </c>
    </row>
    <row r="81" customFormat="false" ht="15" hidden="false" customHeight="false" outlineLevel="0" collapsed="false">
      <c r="A81" s="4" t="s">
        <v>219</v>
      </c>
      <c r="B81" s="5" t="n">
        <v>448</v>
      </c>
      <c r="C81" s="5" t="n">
        <v>34</v>
      </c>
      <c r="D81" s="6" t="n">
        <f aca="false">C81/B81</f>
        <v>0.0758928571428571</v>
      </c>
      <c r="E81" s="5" t="n">
        <f aca="false">B81/Confusion_Matrix!G81*1000</f>
        <v>6.61635480202626</v>
      </c>
    </row>
    <row r="82" customFormat="false" ht="15" hidden="false" customHeight="false" outlineLevel="0" collapsed="false">
      <c r="A82" s="4" t="s">
        <v>221</v>
      </c>
      <c r="B82" s="5" t="n">
        <v>3416</v>
      </c>
      <c r="C82" s="5" t="n">
        <v>189</v>
      </c>
      <c r="D82" s="6" t="n">
        <f aca="false">C82/B82</f>
        <v>0.055327868852459</v>
      </c>
      <c r="E82" s="5" t="n">
        <f aca="false">B82/Confusion_Matrix!G82*1000</f>
        <v>58.2328974957809</v>
      </c>
    </row>
    <row r="83" customFormat="false" ht="15" hidden="false" customHeight="false" outlineLevel="0" collapsed="false">
      <c r="A83" s="4" t="s">
        <v>223</v>
      </c>
      <c r="B83" s="5" t="n">
        <v>2540</v>
      </c>
      <c r="C83" s="5" t="n">
        <v>362</v>
      </c>
      <c r="D83" s="6" t="n">
        <f aca="false">C83/B83</f>
        <v>0.14251968503937</v>
      </c>
      <c r="E83" s="5" t="n">
        <f aca="false">B83/Confusion_Matrix!G83*1000</f>
        <v>31.2361650843622</v>
      </c>
    </row>
    <row r="84" customFormat="false" ht="15" hidden="false" customHeight="false" outlineLevel="0" collapsed="false">
      <c r="A84" s="4" t="s">
        <v>225</v>
      </c>
      <c r="B84" s="5" t="n">
        <v>1676</v>
      </c>
      <c r="C84" s="5" t="n">
        <v>63</v>
      </c>
      <c r="D84" s="6" t="n">
        <f aca="false">C84/B84</f>
        <v>0.0375894988066826</v>
      </c>
      <c r="E84" s="5" t="n">
        <f aca="false">B84/Confusion_Matrix!G84*1000</f>
        <v>42.2176881029749</v>
      </c>
    </row>
    <row r="85" customFormat="false" ht="15" hidden="false" customHeight="false" outlineLevel="0" collapsed="false">
      <c r="A85" s="4" t="s">
        <v>227</v>
      </c>
      <c r="B85" s="5" t="n">
        <v>2933</v>
      </c>
      <c r="C85" s="5" t="n">
        <v>322</v>
      </c>
      <c r="D85" s="6" t="n">
        <f aca="false">C85/B85</f>
        <v>0.109785202863962</v>
      </c>
      <c r="E85" s="5" t="n">
        <f aca="false">B85/Confusion_Matrix!G85*1000</f>
        <v>51.9160987698026</v>
      </c>
    </row>
    <row r="86" customFormat="false" ht="15" hidden="false" customHeight="false" outlineLevel="0" collapsed="false">
      <c r="A86" s="4" t="s">
        <v>229</v>
      </c>
      <c r="B86" s="5" t="n">
        <v>2434</v>
      </c>
      <c r="C86" s="5" t="n">
        <v>191</v>
      </c>
      <c r="D86" s="6" t="n">
        <f aca="false">C86/B86</f>
        <v>0.0784716516023007</v>
      </c>
      <c r="E86" s="5" t="n">
        <f aca="false">B86/Confusion_Matrix!G86*1000</f>
        <v>45.9253948187702</v>
      </c>
    </row>
    <row r="87" customFormat="false" ht="15" hidden="false" customHeight="false" outlineLevel="0" collapsed="false">
      <c r="A87" s="4" t="s">
        <v>231</v>
      </c>
      <c r="B87" s="5" t="n">
        <v>799</v>
      </c>
      <c r="C87" s="5" t="n">
        <v>306</v>
      </c>
      <c r="D87" s="6" t="n">
        <f aca="false">C87/B87</f>
        <v>0.382978723404255</v>
      </c>
      <c r="E87" s="5" t="n">
        <f aca="false">B87/Confusion_Matrix!G87*1000</f>
        <v>9.63335382983084</v>
      </c>
    </row>
    <row r="88" customFormat="false" ht="15" hidden="false" customHeight="false" outlineLevel="0" collapsed="false">
      <c r="A88" s="4" t="s">
        <v>233</v>
      </c>
      <c r="B88" s="5" t="n">
        <v>762</v>
      </c>
      <c r="C88" s="5" t="n">
        <v>396</v>
      </c>
      <c r="D88" s="6" t="n">
        <f aca="false">C88/B88</f>
        <v>0.519685039370079</v>
      </c>
      <c r="E88" s="5" t="n">
        <f aca="false">B88/Confusion_Matrix!G88*1000</f>
        <v>23.1238430491913</v>
      </c>
    </row>
    <row r="89" customFormat="false" ht="15" hidden="false" customHeight="false" outlineLevel="0" collapsed="false">
      <c r="A89" s="4" t="s">
        <v>235</v>
      </c>
      <c r="B89" s="5" t="n">
        <v>2643</v>
      </c>
      <c r="C89" s="5" t="n">
        <v>131</v>
      </c>
      <c r="D89" s="6" t="n">
        <f aca="false">C89/B89</f>
        <v>0.0495648883844117</v>
      </c>
      <c r="E89" s="5" t="n">
        <f aca="false">B89/Confusion_Matrix!G89*1000</f>
        <v>36.5075418531411</v>
      </c>
    </row>
    <row r="90" customFormat="false" ht="15" hidden="false" customHeight="false" outlineLevel="0" collapsed="false">
      <c r="A90" s="4" t="s">
        <v>237</v>
      </c>
      <c r="B90" s="5" t="n">
        <v>1230</v>
      </c>
      <c r="C90" s="5" t="n">
        <v>236</v>
      </c>
      <c r="D90" s="6" t="n">
        <f aca="false">C90/B90</f>
        <v>0.191869918699187</v>
      </c>
      <c r="E90" s="5" t="n">
        <f aca="false">B90/Confusion_Matrix!G90*1000</f>
        <v>22.4477132532759</v>
      </c>
    </row>
    <row r="91" customFormat="false" ht="15" hidden="false" customHeight="false" outlineLevel="0" collapsed="false">
      <c r="A91" s="4" t="s">
        <v>239</v>
      </c>
      <c r="B91" s="5" t="n">
        <v>1259</v>
      </c>
      <c r="C91" s="5" t="n">
        <v>249</v>
      </c>
      <c r="D91" s="6" t="n">
        <f aca="false">C91/B91</f>
        <v>0.197776012708499</v>
      </c>
      <c r="E91" s="5" t="n">
        <f aca="false">B91/Confusion_Matrix!G91*1000</f>
        <v>17.0881007641462</v>
      </c>
    </row>
    <row r="92" customFormat="false" ht="15" hidden="false" customHeight="false" outlineLevel="0" collapsed="false">
      <c r="A92" s="4" t="s">
        <v>241</v>
      </c>
      <c r="B92" s="5" t="n">
        <v>2762</v>
      </c>
      <c r="C92" s="5" t="n">
        <v>277</v>
      </c>
      <c r="D92" s="6" t="n">
        <f aca="false">C92/B92</f>
        <v>0.100289645184649</v>
      </c>
      <c r="E92" s="5" t="n">
        <f aca="false">B92/Confusion_Matrix!G92*1000</f>
        <v>45.0673889632216</v>
      </c>
    </row>
    <row r="93" customFormat="false" ht="15" hidden="false" customHeight="false" outlineLevel="0" collapsed="false">
      <c r="A93" s="4" t="s">
        <v>243</v>
      </c>
      <c r="B93" s="5" t="n">
        <v>1469</v>
      </c>
      <c r="C93" s="5" t="n">
        <v>126</v>
      </c>
      <c r="D93" s="6" t="n">
        <f aca="false">C93/B93</f>
        <v>0.0857726344452008</v>
      </c>
      <c r="E93" s="5" t="n">
        <f aca="false">B93/Confusion_Matrix!G93*1000</f>
        <v>21.6657080070203</v>
      </c>
    </row>
    <row r="94" customFormat="false" ht="15" hidden="false" customHeight="false" outlineLevel="0" collapsed="false">
      <c r="A94" s="4" t="s">
        <v>245</v>
      </c>
      <c r="B94" s="5" t="n">
        <v>1772</v>
      </c>
      <c r="C94" s="5" t="n">
        <v>76</v>
      </c>
      <c r="D94" s="6" t="n">
        <f aca="false">C94/B94</f>
        <v>0.0428893905191874</v>
      </c>
      <c r="E94" s="5" t="n">
        <f aca="false">B94/Confusion_Matrix!G94*1000</f>
        <v>31.25</v>
      </c>
    </row>
    <row r="95" customFormat="false" ht="15" hidden="false" customHeight="false" outlineLevel="0" collapsed="false">
      <c r="A95" s="4" t="s">
        <v>247</v>
      </c>
      <c r="B95" s="5" t="n">
        <v>2087</v>
      </c>
      <c r="C95" s="5" t="n">
        <v>273</v>
      </c>
      <c r="D95" s="6" t="n">
        <f aca="false">C95/B95</f>
        <v>0.130809774796358</v>
      </c>
      <c r="E95" s="5" t="n">
        <f aca="false">B95/Confusion_Matrix!G95*1000</f>
        <v>27.841886898171</v>
      </c>
    </row>
    <row r="96" customFormat="false" ht="15" hidden="false" customHeight="false" outlineLevel="0" collapsed="false">
      <c r="A96" s="4" t="s">
        <v>249</v>
      </c>
      <c r="B96" s="5" t="n">
        <v>2216</v>
      </c>
      <c r="C96" s="5" t="n">
        <v>352</v>
      </c>
      <c r="D96" s="6" t="n">
        <f aca="false">C96/B96</f>
        <v>0.15884476534296</v>
      </c>
      <c r="E96" s="5" t="n">
        <f aca="false">B96/Confusion_Matrix!G96*1000</f>
        <v>32.9727558141265</v>
      </c>
    </row>
    <row r="97" customFormat="false" ht="15" hidden="false" customHeight="false" outlineLevel="0" collapsed="false">
      <c r="A97" s="4" t="s">
        <v>251</v>
      </c>
      <c r="B97" s="5" t="n">
        <v>681</v>
      </c>
      <c r="C97" s="5" t="n">
        <v>117</v>
      </c>
      <c r="D97" s="6" t="n">
        <f aca="false">C97/B97</f>
        <v>0.171806167400881</v>
      </c>
      <c r="E97" s="5" t="n">
        <f aca="false">B97/Confusion_Matrix!G97*1000</f>
        <v>15.7938679901665</v>
      </c>
    </row>
    <row r="98" customFormat="false" ht="15" hidden="false" customHeight="false" outlineLevel="0" collapsed="false">
      <c r="A98" s="4" t="s">
        <v>253</v>
      </c>
      <c r="B98" s="5" t="n">
        <v>1262</v>
      </c>
      <c r="C98" s="5" t="n">
        <v>450</v>
      </c>
      <c r="D98" s="6" t="n">
        <f aca="false">C98/B98</f>
        <v>0.356576862123613</v>
      </c>
      <c r="E98" s="5" t="n">
        <f aca="false">B98/Confusion_Matrix!G98*1000</f>
        <v>14.9236081547704</v>
      </c>
    </row>
    <row r="99" customFormat="false" ht="15" hidden="false" customHeight="false" outlineLevel="0" collapsed="false">
      <c r="A99" s="4" t="s">
        <v>255</v>
      </c>
      <c r="B99" s="5" t="n">
        <v>1190</v>
      </c>
      <c r="C99" s="5" t="n">
        <v>92</v>
      </c>
      <c r="D99" s="6" t="n">
        <f aca="false">C99/B99</f>
        <v>0.0773109243697479</v>
      </c>
      <c r="E99" s="5" t="n">
        <f aca="false">B99/Confusion_Matrix!G99*1000</f>
        <v>15.6385523168712</v>
      </c>
    </row>
    <row r="100" customFormat="false" ht="15" hidden="false" customHeight="false" outlineLevel="0" collapsed="false">
      <c r="A100" s="4" t="s">
        <v>257</v>
      </c>
      <c r="B100" s="5" t="n">
        <v>1046</v>
      </c>
      <c r="C100" s="5" t="n">
        <v>59</v>
      </c>
      <c r="D100" s="6" t="n">
        <f aca="false">C100/B100</f>
        <v>0.0564053537284895</v>
      </c>
      <c r="E100" s="5" t="n">
        <f aca="false">B100/Confusion_Matrix!G100*1000</f>
        <v>42.8530460076201</v>
      </c>
    </row>
    <row r="101" customFormat="false" ht="15" hidden="false" customHeight="false" outlineLevel="0" collapsed="false">
      <c r="A101" s="4" t="s">
        <v>259</v>
      </c>
      <c r="B101" s="5" t="n">
        <v>555</v>
      </c>
      <c r="C101" s="5" t="n">
        <v>250</v>
      </c>
      <c r="D101" s="6" t="n">
        <f aca="false">C101/B101</f>
        <v>0.45045045045045</v>
      </c>
      <c r="E101" s="5" t="n">
        <f aca="false">B101/Confusion_Matrix!G101*1000</f>
        <v>9.12828947368421</v>
      </c>
    </row>
    <row r="102" customFormat="false" ht="15" hidden="false" customHeight="false" outlineLevel="0" collapsed="false">
      <c r="A102" s="4" t="s">
        <v>261</v>
      </c>
      <c r="B102" s="5" t="n">
        <v>1863</v>
      </c>
      <c r="C102" s="5" t="n">
        <v>37</v>
      </c>
      <c r="D102" s="6" t="n">
        <f aca="false">C102/B102</f>
        <v>0.0198604401502952</v>
      </c>
      <c r="E102" s="5" t="n">
        <f aca="false">B102/Confusion_Matrix!G102*1000</f>
        <v>64.6650468587296</v>
      </c>
    </row>
    <row r="103" customFormat="false" ht="15" hidden="false" customHeight="false" outlineLevel="0" collapsed="false">
      <c r="A103" s="4" t="s">
        <v>263</v>
      </c>
      <c r="B103" s="5" t="n">
        <v>589</v>
      </c>
      <c r="C103" s="5" t="n">
        <v>157</v>
      </c>
      <c r="D103" s="6" t="n">
        <f aca="false">C103/B103</f>
        <v>0.266553480475382</v>
      </c>
      <c r="E103" s="5" t="n">
        <f aca="false">B103/Confusion_Matrix!G103*1000</f>
        <v>15.6129887342611</v>
      </c>
    </row>
    <row r="104" customFormat="false" ht="15" hidden="false" customHeight="false" outlineLevel="0" collapsed="false">
      <c r="A104" s="4" t="s">
        <v>265</v>
      </c>
      <c r="B104" s="5" t="n">
        <v>396</v>
      </c>
      <c r="C104" s="5" t="n">
        <v>71</v>
      </c>
      <c r="D104" s="6" t="n">
        <f aca="false">C104/B104</f>
        <v>0.179292929292929</v>
      </c>
      <c r="E104" s="5" t="n">
        <f aca="false">B104/Confusion_Matrix!G104*1000</f>
        <v>8.3502024291498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9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4" customFormat="false" ht="15" hidden="false" customHeight="false" outlineLevel="0" collapsed="false">
      <c r="A4" s="3" t="s">
        <v>2</v>
      </c>
      <c r="B4" s="3" t="s">
        <v>288</v>
      </c>
      <c r="C4" s="3" t="s">
        <v>289</v>
      </c>
      <c r="D4" s="3" t="s">
        <v>290</v>
      </c>
      <c r="E4" s="3" t="s">
        <v>291</v>
      </c>
    </row>
    <row r="5" customFormat="false" ht="15" hidden="false" customHeight="false" outlineLevel="0" collapsed="false">
      <c r="A5" s="4" t="s">
        <v>10</v>
      </c>
      <c r="B5" s="7" t="n">
        <v>0.57</v>
      </c>
      <c r="C5" s="7" t="n">
        <v>90</v>
      </c>
      <c r="D5" s="8" t="n">
        <v>10000</v>
      </c>
      <c r="E5" s="5" t="s">
        <v>292</v>
      </c>
    </row>
    <row r="6" customFormat="false" ht="15" hidden="false" customHeight="false" outlineLevel="0" collapsed="false">
      <c r="A6" s="4" t="s">
        <v>18</v>
      </c>
      <c r="B6" s="7" t="n">
        <v>0.78</v>
      </c>
      <c r="C6" s="7" t="n">
        <v>30</v>
      </c>
      <c r="D6" s="8" t="n">
        <v>3000</v>
      </c>
      <c r="E6" s="5" t="s">
        <v>293</v>
      </c>
    </row>
    <row r="7" customFormat="false" ht="15" hidden="false" customHeight="false" outlineLevel="0" collapsed="false">
      <c r="A7" s="4" t="s">
        <v>25</v>
      </c>
      <c r="B7" s="7" t="n">
        <v>0.78</v>
      </c>
      <c r="C7" s="7" t="n">
        <v>60</v>
      </c>
      <c r="D7" s="8" t="n">
        <v>10000</v>
      </c>
      <c r="E7" s="5" t="s">
        <v>293</v>
      </c>
    </row>
    <row r="8" customFormat="false" ht="15" hidden="false" customHeight="false" outlineLevel="0" collapsed="false">
      <c r="A8" s="4" t="s">
        <v>32</v>
      </c>
      <c r="B8" s="7" t="n">
        <v>0.58</v>
      </c>
      <c r="C8" s="7" t="n">
        <v>90</v>
      </c>
      <c r="D8" s="8" t="n">
        <v>5000</v>
      </c>
      <c r="E8" s="5" t="s">
        <v>292</v>
      </c>
    </row>
    <row r="9" customFormat="false" ht="15" hidden="false" customHeight="false" outlineLevel="0" collapsed="false">
      <c r="A9" s="4" t="s">
        <v>40</v>
      </c>
      <c r="B9" s="7" t="n">
        <v>0.61</v>
      </c>
      <c r="C9" s="7" t="n">
        <v>180</v>
      </c>
      <c r="D9" s="8" t="n">
        <v>10000</v>
      </c>
      <c r="E9" s="5" t="s">
        <v>292</v>
      </c>
    </row>
    <row r="10" customFormat="false" ht="15" hidden="false" customHeight="false" outlineLevel="0" collapsed="false">
      <c r="A10" s="4" t="s">
        <v>48</v>
      </c>
      <c r="B10" s="7" t="n">
        <v>0.47</v>
      </c>
      <c r="C10" s="7" t="n">
        <v>30</v>
      </c>
      <c r="D10" s="8" t="n">
        <v>1000</v>
      </c>
      <c r="E10" s="5" t="s">
        <v>294</v>
      </c>
    </row>
    <row r="11" customFormat="false" ht="15" hidden="false" customHeight="false" outlineLevel="0" collapsed="false">
      <c r="A11" s="4" t="s">
        <v>55</v>
      </c>
      <c r="B11" s="7" t="n">
        <v>0.48</v>
      </c>
      <c r="C11" s="7" t="n">
        <v>90</v>
      </c>
      <c r="D11" s="8" t="n">
        <v>5000</v>
      </c>
      <c r="E11" s="5" t="s">
        <v>294</v>
      </c>
    </row>
    <row r="12" customFormat="false" ht="15" hidden="false" customHeight="false" outlineLevel="0" collapsed="false">
      <c r="A12" s="4" t="s">
        <v>61</v>
      </c>
      <c r="B12" s="7" t="n">
        <v>0.78</v>
      </c>
      <c r="C12" s="7" t="n">
        <v>60</v>
      </c>
      <c r="D12" s="8" t="n">
        <v>10000</v>
      </c>
      <c r="E12" s="5" t="s">
        <v>293</v>
      </c>
    </row>
    <row r="13" customFormat="false" ht="15" hidden="false" customHeight="false" outlineLevel="0" collapsed="false">
      <c r="A13" s="4" t="s">
        <v>67</v>
      </c>
      <c r="B13" s="7" t="n">
        <v>0.82</v>
      </c>
      <c r="C13" s="7" t="n">
        <v>60</v>
      </c>
      <c r="D13" s="8" t="n">
        <v>3000</v>
      </c>
      <c r="E13" s="5" t="s">
        <v>293</v>
      </c>
    </row>
    <row r="14" customFormat="false" ht="15" hidden="false" customHeight="false" outlineLevel="0" collapsed="false">
      <c r="A14" s="4" t="s">
        <v>72</v>
      </c>
      <c r="B14" s="7" t="n">
        <v>0.68</v>
      </c>
      <c r="C14" s="7" t="n">
        <v>90</v>
      </c>
      <c r="D14" s="8" t="n">
        <v>1000</v>
      </c>
      <c r="E14" s="5" t="s">
        <v>292</v>
      </c>
    </row>
    <row r="15" customFormat="false" ht="15" hidden="false" customHeight="false" outlineLevel="0" collapsed="false">
      <c r="A15" s="4" t="s">
        <v>77</v>
      </c>
      <c r="B15" s="7" t="n">
        <v>0.79</v>
      </c>
      <c r="C15" s="7" t="n">
        <v>90</v>
      </c>
      <c r="D15" s="8" t="n">
        <v>10000</v>
      </c>
      <c r="E15" s="5" t="s">
        <v>293</v>
      </c>
    </row>
    <row r="16" customFormat="false" ht="15" hidden="false" customHeight="false" outlineLevel="0" collapsed="false">
      <c r="A16" s="4" t="s">
        <v>80</v>
      </c>
      <c r="B16" s="7" t="n">
        <v>0.83</v>
      </c>
      <c r="C16" s="7" t="n">
        <v>30</v>
      </c>
      <c r="D16" s="8" t="n">
        <v>10000</v>
      </c>
      <c r="E16" s="5" t="s">
        <v>293</v>
      </c>
    </row>
    <row r="17" customFormat="false" ht="15" hidden="false" customHeight="false" outlineLevel="0" collapsed="false">
      <c r="A17" s="4" t="s">
        <v>83</v>
      </c>
      <c r="B17" s="7" t="n">
        <v>0.61</v>
      </c>
      <c r="C17" s="7" t="n">
        <v>30</v>
      </c>
      <c r="D17" s="8" t="n">
        <v>5000</v>
      </c>
      <c r="E17" s="5" t="s">
        <v>292</v>
      </c>
    </row>
    <row r="18" customFormat="false" ht="15" hidden="false" customHeight="false" outlineLevel="0" collapsed="false">
      <c r="A18" s="4" t="s">
        <v>86</v>
      </c>
      <c r="B18" s="7" t="n">
        <v>0.68</v>
      </c>
      <c r="C18" s="7" t="n">
        <v>60</v>
      </c>
      <c r="D18" s="8" t="n">
        <v>1000</v>
      </c>
      <c r="E18" s="5" t="s">
        <v>292</v>
      </c>
    </row>
    <row r="19" customFormat="false" ht="15" hidden="false" customHeight="false" outlineLevel="0" collapsed="false">
      <c r="A19" s="4" t="s">
        <v>89</v>
      </c>
      <c r="B19" s="7" t="n">
        <v>0.56</v>
      </c>
      <c r="C19" s="7" t="n">
        <v>180</v>
      </c>
      <c r="D19" s="8" t="n">
        <v>9000</v>
      </c>
      <c r="E19" s="5" t="s">
        <v>292</v>
      </c>
    </row>
    <row r="20" customFormat="false" ht="15" hidden="false" customHeight="false" outlineLevel="0" collapsed="false">
      <c r="A20" s="4" t="s">
        <v>92</v>
      </c>
      <c r="B20" s="7" t="n">
        <v>0.6</v>
      </c>
      <c r="C20" s="7" t="n">
        <v>90</v>
      </c>
      <c r="D20" s="8" t="n">
        <v>5000</v>
      </c>
      <c r="E20" s="5" t="s">
        <v>292</v>
      </c>
    </row>
    <row r="21" customFormat="false" ht="15" hidden="false" customHeight="false" outlineLevel="0" collapsed="false">
      <c r="A21" s="4" t="s">
        <v>95</v>
      </c>
      <c r="B21" s="7" t="n">
        <v>0.84</v>
      </c>
      <c r="C21" s="7" t="n">
        <v>180</v>
      </c>
      <c r="D21" s="8" t="n">
        <v>10000</v>
      </c>
      <c r="E21" s="5" t="s">
        <v>293</v>
      </c>
    </row>
    <row r="22" customFormat="false" ht="15" hidden="false" customHeight="false" outlineLevel="0" collapsed="false">
      <c r="A22" s="4" t="s">
        <v>98</v>
      </c>
      <c r="B22" s="7" t="n">
        <v>0.77</v>
      </c>
      <c r="C22" s="7" t="n">
        <v>60</v>
      </c>
      <c r="D22" s="8" t="n">
        <v>5000</v>
      </c>
      <c r="E22" s="5" t="s">
        <v>293</v>
      </c>
    </row>
    <row r="23" customFormat="false" ht="15" hidden="false" customHeight="false" outlineLevel="0" collapsed="false">
      <c r="A23" s="4" t="s">
        <v>101</v>
      </c>
      <c r="B23" s="7" t="n">
        <v>0.64</v>
      </c>
      <c r="C23" s="7" t="n">
        <v>60</v>
      </c>
      <c r="D23" s="8" t="n">
        <v>3000</v>
      </c>
      <c r="E23" s="5" t="s">
        <v>292</v>
      </c>
    </row>
    <row r="24" customFormat="false" ht="15" hidden="false" customHeight="false" outlineLevel="0" collapsed="false">
      <c r="A24" s="4" t="s">
        <v>104</v>
      </c>
      <c r="B24" s="7" t="n">
        <v>0.53</v>
      </c>
      <c r="C24" s="7" t="n">
        <v>180</v>
      </c>
      <c r="D24" s="8" t="n">
        <v>3000</v>
      </c>
      <c r="E24" s="5" t="s">
        <v>294</v>
      </c>
    </row>
    <row r="25" customFormat="false" ht="15" hidden="false" customHeight="false" outlineLevel="0" collapsed="false">
      <c r="A25" s="4" t="s">
        <v>107</v>
      </c>
      <c r="B25" s="7" t="n">
        <v>0.82</v>
      </c>
      <c r="C25" s="7" t="n">
        <v>180</v>
      </c>
      <c r="D25" s="8" t="n">
        <v>1000</v>
      </c>
      <c r="E25" s="5" t="s">
        <v>293</v>
      </c>
    </row>
    <row r="26" customFormat="false" ht="15" hidden="false" customHeight="false" outlineLevel="0" collapsed="false">
      <c r="A26" s="4" t="s">
        <v>109</v>
      </c>
      <c r="B26" s="7" t="n">
        <v>0.49</v>
      </c>
      <c r="C26" s="7" t="n">
        <v>60</v>
      </c>
      <c r="D26" s="8" t="n">
        <v>10000</v>
      </c>
      <c r="E26" s="5" t="s">
        <v>294</v>
      </c>
    </row>
    <row r="27" customFormat="false" ht="15" hidden="false" customHeight="false" outlineLevel="0" collapsed="false">
      <c r="A27" s="4" t="s">
        <v>111</v>
      </c>
      <c r="B27" s="7" t="n">
        <v>0.59</v>
      </c>
      <c r="C27" s="7" t="n">
        <v>60</v>
      </c>
      <c r="D27" s="8" t="n">
        <v>3000</v>
      </c>
      <c r="E27" s="5" t="s">
        <v>292</v>
      </c>
    </row>
    <row r="28" customFormat="false" ht="15" hidden="false" customHeight="false" outlineLevel="0" collapsed="false">
      <c r="A28" s="4" t="s">
        <v>113</v>
      </c>
      <c r="B28" s="7" t="n">
        <v>0.71</v>
      </c>
      <c r="C28" s="7" t="n">
        <v>180</v>
      </c>
      <c r="D28" s="8" t="n">
        <v>3000</v>
      </c>
      <c r="E28" s="5" t="s">
        <v>293</v>
      </c>
    </row>
    <row r="29" customFormat="false" ht="15" hidden="false" customHeight="false" outlineLevel="0" collapsed="false">
      <c r="A29" s="4" t="s">
        <v>115</v>
      </c>
      <c r="B29" s="7" t="n">
        <v>0.58</v>
      </c>
      <c r="C29" s="7" t="n">
        <v>30</v>
      </c>
      <c r="D29" s="8" t="n">
        <v>10000</v>
      </c>
      <c r="E29" s="5" t="s">
        <v>292</v>
      </c>
    </row>
    <row r="30" customFormat="false" ht="15" hidden="false" customHeight="false" outlineLevel="0" collapsed="false">
      <c r="A30" s="4" t="s">
        <v>117</v>
      </c>
      <c r="B30" s="7" t="n">
        <v>0.67</v>
      </c>
      <c r="C30" s="7" t="n">
        <v>180</v>
      </c>
      <c r="D30" s="8" t="n">
        <v>5000</v>
      </c>
      <c r="E30" s="5" t="s">
        <v>292</v>
      </c>
    </row>
    <row r="31" customFormat="false" ht="15" hidden="false" customHeight="false" outlineLevel="0" collapsed="false">
      <c r="A31" s="4" t="s">
        <v>119</v>
      </c>
      <c r="B31" s="7" t="n">
        <v>0.52</v>
      </c>
      <c r="C31" s="7" t="n">
        <v>90</v>
      </c>
      <c r="D31" s="8" t="n">
        <v>3000</v>
      </c>
      <c r="E31" s="5" t="s">
        <v>294</v>
      </c>
    </row>
    <row r="32" customFormat="false" ht="15" hidden="false" customHeight="false" outlineLevel="0" collapsed="false">
      <c r="A32" s="4" t="s">
        <v>121</v>
      </c>
      <c r="B32" s="7" t="n">
        <v>0.61</v>
      </c>
      <c r="C32" s="7" t="n">
        <v>60</v>
      </c>
      <c r="D32" s="8" t="n">
        <v>5000</v>
      </c>
      <c r="E32" s="5" t="s">
        <v>292</v>
      </c>
    </row>
    <row r="33" customFormat="false" ht="15" hidden="false" customHeight="false" outlineLevel="0" collapsed="false">
      <c r="A33" s="4" t="s">
        <v>123</v>
      </c>
      <c r="B33" s="7" t="n">
        <v>0.82</v>
      </c>
      <c r="C33" s="7" t="n">
        <v>30</v>
      </c>
      <c r="D33" s="8" t="n">
        <v>9000</v>
      </c>
      <c r="E33" s="5" t="s">
        <v>293</v>
      </c>
    </row>
    <row r="34" customFormat="false" ht="15" hidden="false" customHeight="false" outlineLevel="0" collapsed="false">
      <c r="A34" s="4" t="s">
        <v>125</v>
      </c>
      <c r="B34" s="7" t="n">
        <v>0.66</v>
      </c>
      <c r="C34" s="7" t="n">
        <v>60</v>
      </c>
      <c r="D34" s="8" t="n">
        <v>9000</v>
      </c>
      <c r="E34" s="5" t="s">
        <v>292</v>
      </c>
    </row>
    <row r="35" customFormat="false" ht="15" hidden="false" customHeight="false" outlineLevel="0" collapsed="false">
      <c r="A35" s="4" t="s">
        <v>127</v>
      </c>
      <c r="B35" s="7" t="n">
        <v>0.58</v>
      </c>
      <c r="C35" s="7" t="n">
        <v>180</v>
      </c>
      <c r="D35" s="8" t="n">
        <v>3000</v>
      </c>
      <c r="E35" s="5" t="s">
        <v>292</v>
      </c>
    </row>
    <row r="36" customFormat="false" ht="15" hidden="false" customHeight="false" outlineLevel="0" collapsed="false">
      <c r="A36" s="4" t="s">
        <v>129</v>
      </c>
      <c r="B36" s="7" t="n">
        <v>0.68</v>
      </c>
      <c r="C36" s="7" t="n">
        <v>180</v>
      </c>
      <c r="D36" s="8" t="n">
        <v>9000</v>
      </c>
      <c r="E36" s="5" t="s">
        <v>292</v>
      </c>
    </row>
    <row r="37" customFormat="false" ht="15" hidden="false" customHeight="false" outlineLevel="0" collapsed="false">
      <c r="A37" s="4" t="s">
        <v>131</v>
      </c>
      <c r="B37" s="7" t="n">
        <v>0.51</v>
      </c>
      <c r="C37" s="7" t="n">
        <v>60</v>
      </c>
      <c r="D37" s="8" t="n">
        <v>1000</v>
      </c>
      <c r="E37" s="5" t="s">
        <v>294</v>
      </c>
    </row>
    <row r="38" customFormat="false" ht="15" hidden="false" customHeight="false" outlineLevel="0" collapsed="false">
      <c r="A38" s="4" t="s">
        <v>133</v>
      </c>
      <c r="B38" s="7" t="n">
        <v>0.79</v>
      </c>
      <c r="C38" s="7" t="n">
        <v>90</v>
      </c>
      <c r="D38" s="8" t="n">
        <v>9000</v>
      </c>
      <c r="E38" s="5" t="s">
        <v>293</v>
      </c>
    </row>
    <row r="39" customFormat="false" ht="15" hidden="false" customHeight="false" outlineLevel="0" collapsed="false">
      <c r="A39" s="4" t="s">
        <v>135</v>
      </c>
      <c r="B39" s="7" t="n">
        <v>0.84</v>
      </c>
      <c r="C39" s="7" t="n">
        <v>90</v>
      </c>
      <c r="D39" s="8" t="n">
        <v>10000</v>
      </c>
      <c r="E39" s="5" t="s">
        <v>293</v>
      </c>
    </row>
    <row r="40" customFormat="false" ht="15" hidden="false" customHeight="false" outlineLevel="0" collapsed="false">
      <c r="A40" s="4" t="s">
        <v>137</v>
      </c>
      <c r="B40" s="7" t="n">
        <v>0.67</v>
      </c>
      <c r="C40" s="7" t="n">
        <v>180</v>
      </c>
      <c r="D40" s="8" t="n">
        <v>1000</v>
      </c>
      <c r="E40" s="5" t="s">
        <v>292</v>
      </c>
    </row>
    <row r="41" customFormat="false" ht="15" hidden="false" customHeight="false" outlineLevel="0" collapsed="false">
      <c r="A41" s="4" t="s">
        <v>139</v>
      </c>
      <c r="B41" s="7" t="n">
        <v>0.55</v>
      </c>
      <c r="C41" s="7" t="n">
        <v>90</v>
      </c>
      <c r="D41" s="8" t="n">
        <v>1000</v>
      </c>
      <c r="E41" s="5" t="s">
        <v>292</v>
      </c>
    </row>
    <row r="42" customFormat="false" ht="15" hidden="false" customHeight="false" outlineLevel="0" collapsed="false">
      <c r="A42" s="4" t="s">
        <v>141</v>
      </c>
      <c r="B42" s="7" t="n">
        <v>0.75</v>
      </c>
      <c r="C42" s="7" t="n">
        <v>30</v>
      </c>
      <c r="D42" s="8" t="n">
        <v>1000</v>
      </c>
      <c r="E42" s="5" t="s">
        <v>293</v>
      </c>
    </row>
    <row r="43" customFormat="false" ht="15" hidden="false" customHeight="false" outlineLevel="0" collapsed="false">
      <c r="A43" s="4" t="s">
        <v>143</v>
      </c>
      <c r="B43" s="7" t="n">
        <v>0.71</v>
      </c>
      <c r="C43" s="7" t="n">
        <v>60</v>
      </c>
      <c r="D43" s="8" t="n">
        <v>5000</v>
      </c>
      <c r="E43" s="5" t="s">
        <v>293</v>
      </c>
    </row>
    <row r="44" customFormat="false" ht="15" hidden="false" customHeight="false" outlineLevel="0" collapsed="false">
      <c r="A44" s="4" t="s">
        <v>145</v>
      </c>
      <c r="B44" s="7" t="n">
        <v>0.6</v>
      </c>
      <c r="C44" s="7" t="n">
        <v>60</v>
      </c>
      <c r="D44" s="8" t="n">
        <v>1000</v>
      </c>
      <c r="E44" s="5" t="s">
        <v>292</v>
      </c>
    </row>
    <row r="45" customFormat="false" ht="15" hidden="false" customHeight="false" outlineLevel="0" collapsed="false">
      <c r="A45" s="4" t="s">
        <v>147</v>
      </c>
      <c r="B45" s="7" t="n">
        <v>0.71</v>
      </c>
      <c r="C45" s="7" t="n">
        <v>60</v>
      </c>
      <c r="D45" s="8" t="n">
        <v>5000</v>
      </c>
      <c r="E45" s="5" t="s">
        <v>293</v>
      </c>
    </row>
    <row r="46" customFormat="false" ht="15" hidden="false" customHeight="false" outlineLevel="0" collapsed="false">
      <c r="A46" s="4" t="s">
        <v>149</v>
      </c>
      <c r="B46" s="7" t="n">
        <v>0.62</v>
      </c>
      <c r="C46" s="7" t="n">
        <v>90</v>
      </c>
      <c r="D46" s="8" t="n">
        <v>9000</v>
      </c>
      <c r="E46" s="5" t="s">
        <v>292</v>
      </c>
    </row>
    <row r="47" customFormat="false" ht="15" hidden="false" customHeight="false" outlineLevel="0" collapsed="false">
      <c r="A47" s="4" t="s">
        <v>151</v>
      </c>
      <c r="B47" s="7" t="n">
        <v>0.56</v>
      </c>
      <c r="C47" s="7" t="n">
        <v>180</v>
      </c>
      <c r="D47" s="8" t="n">
        <v>9000</v>
      </c>
      <c r="E47" s="5" t="s">
        <v>292</v>
      </c>
    </row>
    <row r="48" customFormat="false" ht="15" hidden="false" customHeight="false" outlineLevel="0" collapsed="false">
      <c r="A48" s="4" t="s">
        <v>153</v>
      </c>
      <c r="B48" s="7" t="n">
        <v>0.76</v>
      </c>
      <c r="C48" s="7" t="n">
        <v>30</v>
      </c>
      <c r="D48" s="8" t="n">
        <v>9000</v>
      </c>
      <c r="E48" s="5" t="s">
        <v>293</v>
      </c>
    </row>
    <row r="49" customFormat="false" ht="15" hidden="false" customHeight="false" outlineLevel="0" collapsed="false">
      <c r="A49" s="4" t="s">
        <v>155</v>
      </c>
      <c r="B49" s="7" t="n">
        <v>0.64</v>
      </c>
      <c r="C49" s="7" t="n">
        <v>90</v>
      </c>
      <c r="D49" s="8" t="n">
        <v>9000</v>
      </c>
      <c r="E49" s="5" t="s">
        <v>292</v>
      </c>
    </row>
    <row r="50" customFormat="false" ht="15" hidden="false" customHeight="false" outlineLevel="0" collapsed="false">
      <c r="A50" s="4" t="s">
        <v>157</v>
      </c>
      <c r="B50" s="7" t="n">
        <v>0.53</v>
      </c>
      <c r="C50" s="7" t="n">
        <v>180</v>
      </c>
      <c r="D50" s="8" t="n">
        <v>10000</v>
      </c>
      <c r="E50" s="5" t="s">
        <v>294</v>
      </c>
    </row>
    <row r="51" customFormat="false" ht="15" hidden="false" customHeight="false" outlineLevel="0" collapsed="false">
      <c r="A51" s="4" t="s">
        <v>159</v>
      </c>
      <c r="B51" s="7" t="n">
        <v>0.57</v>
      </c>
      <c r="C51" s="7" t="n">
        <v>180</v>
      </c>
      <c r="D51" s="8" t="n">
        <v>9000</v>
      </c>
      <c r="E51" s="5" t="s">
        <v>292</v>
      </c>
    </row>
    <row r="52" customFormat="false" ht="15" hidden="false" customHeight="false" outlineLevel="0" collapsed="false">
      <c r="A52" s="4" t="s">
        <v>161</v>
      </c>
      <c r="B52" s="7" t="n">
        <v>0.81</v>
      </c>
      <c r="C52" s="7" t="n">
        <v>90</v>
      </c>
      <c r="D52" s="8" t="n">
        <v>1000</v>
      </c>
      <c r="E52" s="5" t="s">
        <v>293</v>
      </c>
    </row>
    <row r="53" customFormat="false" ht="15" hidden="false" customHeight="false" outlineLevel="0" collapsed="false">
      <c r="A53" s="4" t="s">
        <v>163</v>
      </c>
      <c r="B53" s="7" t="n">
        <v>0.59</v>
      </c>
      <c r="C53" s="7" t="n">
        <v>90</v>
      </c>
      <c r="D53" s="8" t="n">
        <v>9000</v>
      </c>
      <c r="E53" s="5" t="s">
        <v>292</v>
      </c>
    </row>
    <row r="54" customFormat="false" ht="15" hidden="false" customHeight="false" outlineLevel="0" collapsed="false">
      <c r="A54" s="4" t="s">
        <v>165</v>
      </c>
      <c r="B54" s="7" t="n">
        <v>0.49</v>
      </c>
      <c r="C54" s="7" t="n">
        <v>30</v>
      </c>
      <c r="D54" s="8" t="n">
        <v>1000</v>
      </c>
      <c r="E54" s="5" t="s">
        <v>294</v>
      </c>
    </row>
    <row r="55" customFormat="false" ht="15" hidden="false" customHeight="false" outlineLevel="0" collapsed="false">
      <c r="A55" s="4" t="s">
        <v>167</v>
      </c>
      <c r="B55" s="7" t="n">
        <v>0.78</v>
      </c>
      <c r="C55" s="7" t="n">
        <v>90</v>
      </c>
      <c r="D55" s="8" t="n">
        <v>1000</v>
      </c>
      <c r="E55" s="5" t="s">
        <v>293</v>
      </c>
    </row>
    <row r="56" customFormat="false" ht="15" hidden="false" customHeight="false" outlineLevel="0" collapsed="false">
      <c r="A56" s="4" t="s">
        <v>169</v>
      </c>
      <c r="B56" s="7" t="n">
        <v>0.8</v>
      </c>
      <c r="C56" s="7" t="n">
        <v>90</v>
      </c>
      <c r="D56" s="8" t="n">
        <v>5000</v>
      </c>
      <c r="E56" s="5" t="s">
        <v>293</v>
      </c>
    </row>
    <row r="57" customFormat="false" ht="15" hidden="false" customHeight="false" outlineLevel="0" collapsed="false">
      <c r="A57" s="4" t="s">
        <v>171</v>
      </c>
      <c r="B57" s="7" t="n">
        <v>0.64</v>
      </c>
      <c r="C57" s="7" t="n">
        <v>180</v>
      </c>
      <c r="D57" s="8" t="n">
        <v>1000</v>
      </c>
      <c r="E57" s="5" t="s">
        <v>292</v>
      </c>
    </row>
    <row r="58" customFormat="false" ht="15" hidden="false" customHeight="false" outlineLevel="0" collapsed="false">
      <c r="A58" s="4" t="s">
        <v>173</v>
      </c>
      <c r="B58" s="7" t="n">
        <v>0.47</v>
      </c>
      <c r="C58" s="7" t="n">
        <v>60</v>
      </c>
      <c r="D58" s="8" t="n">
        <v>3000</v>
      </c>
      <c r="E58" s="5" t="s">
        <v>294</v>
      </c>
    </row>
    <row r="59" customFormat="false" ht="15" hidden="false" customHeight="false" outlineLevel="0" collapsed="false">
      <c r="A59" s="4" t="s">
        <v>175</v>
      </c>
      <c r="B59" s="7" t="n">
        <v>0.83</v>
      </c>
      <c r="C59" s="7" t="n">
        <v>60</v>
      </c>
      <c r="D59" s="8" t="n">
        <v>3000</v>
      </c>
      <c r="E59" s="5" t="s">
        <v>293</v>
      </c>
    </row>
    <row r="60" customFormat="false" ht="15" hidden="false" customHeight="false" outlineLevel="0" collapsed="false">
      <c r="A60" s="4" t="s">
        <v>177</v>
      </c>
      <c r="B60" s="7" t="n">
        <v>0.58</v>
      </c>
      <c r="C60" s="7" t="n">
        <v>30</v>
      </c>
      <c r="D60" s="8" t="n">
        <v>9000</v>
      </c>
      <c r="E60" s="5" t="s">
        <v>292</v>
      </c>
    </row>
    <row r="61" customFormat="false" ht="15" hidden="false" customHeight="false" outlineLevel="0" collapsed="false">
      <c r="A61" s="4" t="s">
        <v>179</v>
      </c>
      <c r="B61" s="7" t="n">
        <v>0.63</v>
      </c>
      <c r="C61" s="7" t="n">
        <v>90</v>
      </c>
      <c r="D61" s="8" t="n">
        <v>10000</v>
      </c>
      <c r="E61" s="5" t="s">
        <v>292</v>
      </c>
    </row>
    <row r="62" customFormat="false" ht="15" hidden="false" customHeight="false" outlineLevel="0" collapsed="false">
      <c r="A62" s="4" t="s">
        <v>181</v>
      </c>
      <c r="B62" s="7" t="n">
        <v>0.77</v>
      </c>
      <c r="C62" s="7" t="n">
        <v>180</v>
      </c>
      <c r="D62" s="8" t="n">
        <v>5000</v>
      </c>
      <c r="E62" s="5" t="s">
        <v>293</v>
      </c>
    </row>
    <row r="63" customFormat="false" ht="15" hidden="false" customHeight="false" outlineLevel="0" collapsed="false">
      <c r="A63" s="4" t="s">
        <v>183</v>
      </c>
      <c r="B63" s="7" t="n">
        <v>0.6</v>
      </c>
      <c r="C63" s="7" t="n">
        <v>90</v>
      </c>
      <c r="D63" s="8" t="n">
        <v>9000</v>
      </c>
      <c r="E63" s="5" t="s">
        <v>292</v>
      </c>
    </row>
    <row r="64" customFormat="false" ht="15" hidden="false" customHeight="false" outlineLevel="0" collapsed="false">
      <c r="A64" s="4" t="s">
        <v>185</v>
      </c>
      <c r="B64" s="7" t="n">
        <v>0.84</v>
      </c>
      <c r="C64" s="7" t="n">
        <v>90</v>
      </c>
      <c r="D64" s="8" t="n">
        <v>9000</v>
      </c>
      <c r="E64" s="5" t="s">
        <v>293</v>
      </c>
    </row>
    <row r="65" customFormat="false" ht="15" hidden="false" customHeight="false" outlineLevel="0" collapsed="false">
      <c r="A65" s="4" t="s">
        <v>187</v>
      </c>
      <c r="B65" s="7" t="n">
        <v>0.83</v>
      </c>
      <c r="C65" s="7" t="n">
        <v>30</v>
      </c>
      <c r="D65" s="8" t="n">
        <v>1000</v>
      </c>
      <c r="E65" s="5" t="s">
        <v>293</v>
      </c>
    </row>
    <row r="66" customFormat="false" ht="15" hidden="false" customHeight="false" outlineLevel="0" collapsed="false">
      <c r="A66" s="4" t="s">
        <v>189</v>
      </c>
      <c r="B66" s="7" t="n">
        <v>0.7</v>
      </c>
      <c r="C66" s="7" t="n">
        <v>60</v>
      </c>
      <c r="D66" s="8" t="n">
        <v>3000</v>
      </c>
      <c r="E66" s="5" t="s">
        <v>293</v>
      </c>
    </row>
    <row r="67" customFormat="false" ht="15" hidden="false" customHeight="false" outlineLevel="0" collapsed="false">
      <c r="A67" s="4" t="s">
        <v>191</v>
      </c>
      <c r="B67" s="7" t="n">
        <v>0.5</v>
      </c>
      <c r="C67" s="7" t="n">
        <v>180</v>
      </c>
      <c r="D67" s="8" t="n">
        <v>5000</v>
      </c>
      <c r="E67" s="5" t="s">
        <v>294</v>
      </c>
    </row>
    <row r="68" customFormat="false" ht="15" hidden="false" customHeight="false" outlineLevel="0" collapsed="false">
      <c r="A68" s="4" t="s">
        <v>193</v>
      </c>
      <c r="B68" s="7" t="n">
        <v>0.83</v>
      </c>
      <c r="C68" s="7" t="n">
        <v>30</v>
      </c>
      <c r="D68" s="8" t="n">
        <v>5000</v>
      </c>
      <c r="E68" s="5" t="s">
        <v>293</v>
      </c>
    </row>
    <row r="69" customFormat="false" ht="15" hidden="false" customHeight="false" outlineLevel="0" collapsed="false">
      <c r="A69" s="4" t="s">
        <v>195</v>
      </c>
      <c r="B69" s="7" t="n">
        <v>0.81</v>
      </c>
      <c r="C69" s="7" t="n">
        <v>90</v>
      </c>
      <c r="D69" s="8" t="n">
        <v>1000</v>
      </c>
      <c r="E69" s="5" t="s">
        <v>293</v>
      </c>
    </row>
    <row r="70" customFormat="false" ht="15" hidden="false" customHeight="false" outlineLevel="0" collapsed="false">
      <c r="A70" s="4" t="s">
        <v>197</v>
      </c>
      <c r="B70" s="7" t="n">
        <v>0.72</v>
      </c>
      <c r="C70" s="7" t="n">
        <v>60</v>
      </c>
      <c r="D70" s="8" t="n">
        <v>5000</v>
      </c>
      <c r="E70" s="5" t="s">
        <v>293</v>
      </c>
    </row>
    <row r="71" customFormat="false" ht="15" hidden="false" customHeight="false" outlineLevel="0" collapsed="false">
      <c r="A71" s="4" t="s">
        <v>199</v>
      </c>
      <c r="B71" s="7" t="n">
        <v>0.58</v>
      </c>
      <c r="C71" s="7" t="n">
        <v>60</v>
      </c>
      <c r="D71" s="8" t="n">
        <v>1000</v>
      </c>
      <c r="E71" s="5" t="s">
        <v>292</v>
      </c>
    </row>
    <row r="72" customFormat="false" ht="15" hidden="false" customHeight="false" outlineLevel="0" collapsed="false">
      <c r="A72" s="4" t="s">
        <v>201</v>
      </c>
      <c r="B72" s="7" t="n">
        <v>0.46</v>
      </c>
      <c r="C72" s="7" t="n">
        <v>180</v>
      </c>
      <c r="D72" s="8" t="n">
        <v>10000</v>
      </c>
      <c r="E72" s="5" t="s">
        <v>294</v>
      </c>
    </row>
    <row r="73" customFormat="false" ht="15" hidden="false" customHeight="false" outlineLevel="0" collapsed="false">
      <c r="A73" s="4" t="s">
        <v>203</v>
      </c>
      <c r="B73" s="7" t="n">
        <v>0.52</v>
      </c>
      <c r="C73" s="7" t="n">
        <v>90</v>
      </c>
      <c r="D73" s="8" t="n">
        <v>5000</v>
      </c>
      <c r="E73" s="5" t="s">
        <v>294</v>
      </c>
    </row>
    <row r="74" customFormat="false" ht="15" hidden="false" customHeight="false" outlineLevel="0" collapsed="false">
      <c r="A74" s="4" t="s">
        <v>205</v>
      </c>
      <c r="B74" s="7" t="n">
        <v>0.54</v>
      </c>
      <c r="C74" s="7" t="n">
        <v>180</v>
      </c>
      <c r="D74" s="8" t="n">
        <v>5000</v>
      </c>
      <c r="E74" s="5" t="s">
        <v>294</v>
      </c>
    </row>
    <row r="75" customFormat="false" ht="15" hidden="false" customHeight="false" outlineLevel="0" collapsed="false">
      <c r="A75" s="4" t="s">
        <v>207</v>
      </c>
      <c r="B75" s="7" t="n">
        <v>0.82</v>
      </c>
      <c r="C75" s="7" t="n">
        <v>180</v>
      </c>
      <c r="D75" s="8" t="n">
        <v>9000</v>
      </c>
      <c r="E75" s="5" t="s">
        <v>293</v>
      </c>
    </row>
    <row r="76" customFormat="false" ht="15" hidden="false" customHeight="false" outlineLevel="0" collapsed="false">
      <c r="A76" s="4" t="s">
        <v>209</v>
      </c>
      <c r="B76" s="7" t="n">
        <v>0.82</v>
      </c>
      <c r="C76" s="7" t="n">
        <v>90</v>
      </c>
      <c r="D76" s="8" t="n">
        <v>1000</v>
      </c>
      <c r="E76" s="5" t="s">
        <v>293</v>
      </c>
    </row>
    <row r="77" customFormat="false" ht="15" hidden="false" customHeight="false" outlineLevel="0" collapsed="false">
      <c r="A77" s="4" t="s">
        <v>211</v>
      </c>
      <c r="B77" s="7" t="n">
        <v>0.48</v>
      </c>
      <c r="C77" s="7" t="n">
        <v>30</v>
      </c>
      <c r="D77" s="8" t="n">
        <v>3000</v>
      </c>
      <c r="E77" s="5" t="s">
        <v>294</v>
      </c>
    </row>
    <row r="78" customFormat="false" ht="15" hidden="false" customHeight="false" outlineLevel="0" collapsed="false">
      <c r="A78" s="4" t="s">
        <v>213</v>
      </c>
      <c r="B78" s="7" t="n">
        <v>0.66</v>
      </c>
      <c r="C78" s="7" t="n">
        <v>90</v>
      </c>
      <c r="D78" s="8" t="n">
        <v>1000</v>
      </c>
      <c r="E78" s="5" t="s">
        <v>292</v>
      </c>
    </row>
    <row r="79" customFormat="false" ht="15" hidden="false" customHeight="false" outlineLevel="0" collapsed="false">
      <c r="A79" s="4" t="s">
        <v>215</v>
      </c>
      <c r="B79" s="7" t="n">
        <v>0.8</v>
      </c>
      <c r="C79" s="7" t="n">
        <v>90</v>
      </c>
      <c r="D79" s="8" t="n">
        <v>5000</v>
      </c>
      <c r="E79" s="5" t="s">
        <v>293</v>
      </c>
    </row>
    <row r="80" customFormat="false" ht="15" hidden="false" customHeight="false" outlineLevel="0" collapsed="false">
      <c r="A80" s="4" t="s">
        <v>217</v>
      </c>
      <c r="B80" s="7" t="n">
        <v>0.83</v>
      </c>
      <c r="C80" s="7" t="n">
        <v>60</v>
      </c>
      <c r="D80" s="8" t="n">
        <v>10000</v>
      </c>
      <c r="E80" s="5" t="s">
        <v>293</v>
      </c>
    </row>
    <row r="81" customFormat="false" ht="15" hidden="false" customHeight="false" outlineLevel="0" collapsed="false">
      <c r="A81" s="4" t="s">
        <v>219</v>
      </c>
      <c r="B81" s="7" t="n">
        <v>0.46</v>
      </c>
      <c r="C81" s="7" t="n">
        <v>60</v>
      </c>
      <c r="D81" s="8" t="n">
        <v>3000</v>
      </c>
      <c r="E81" s="5" t="s">
        <v>294</v>
      </c>
    </row>
    <row r="82" customFormat="false" ht="15" hidden="false" customHeight="false" outlineLevel="0" collapsed="false">
      <c r="A82" s="4" t="s">
        <v>221</v>
      </c>
      <c r="B82" s="7" t="n">
        <v>0.51</v>
      </c>
      <c r="C82" s="7" t="n">
        <v>90</v>
      </c>
      <c r="D82" s="8" t="n">
        <v>9000</v>
      </c>
      <c r="E82" s="5" t="s">
        <v>294</v>
      </c>
    </row>
    <row r="83" customFormat="false" ht="15" hidden="false" customHeight="false" outlineLevel="0" collapsed="false">
      <c r="A83" s="4" t="s">
        <v>223</v>
      </c>
      <c r="B83" s="7" t="n">
        <v>0.64</v>
      </c>
      <c r="C83" s="7" t="n">
        <v>30</v>
      </c>
      <c r="D83" s="8" t="n">
        <v>1000</v>
      </c>
      <c r="E83" s="5" t="s">
        <v>292</v>
      </c>
    </row>
    <row r="84" customFormat="false" ht="15" hidden="false" customHeight="false" outlineLevel="0" collapsed="false">
      <c r="A84" s="4" t="s">
        <v>225</v>
      </c>
      <c r="B84" s="7" t="n">
        <v>0.81</v>
      </c>
      <c r="C84" s="7" t="n">
        <v>180</v>
      </c>
      <c r="D84" s="8" t="n">
        <v>3000</v>
      </c>
      <c r="E84" s="5" t="s">
        <v>293</v>
      </c>
    </row>
    <row r="85" customFormat="false" ht="15" hidden="false" customHeight="false" outlineLevel="0" collapsed="false">
      <c r="A85" s="4" t="s">
        <v>227</v>
      </c>
      <c r="B85" s="7" t="n">
        <v>0.64</v>
      </c>
      <c r="C85" s="7" t="n">
        <v>90</v>
      </c>
      <c r="D85" s="8" t="n">
        <v>3000</v>
      </c>
      <c r="E85" s="5" t="s">
        <v>292</v>
      </c>
    </row>
    <row r="86" customFormat="false" ht="15" hidden="false" customHeight="false" outlineLevel="0" collapsed="false">
      <c r="A86" s="4" t="s">
        <v>229</v>
      </c>
      <c r="B86" s="7" t="n">
        <v>0.61</v>
      </c>
      <c r="C86" s="7" t="n">
        <v>30</v>
      </c>
      <c r="D86" s="8" t="n">
        <v>5000</v>
      </c>
      <c r="E86" s="5" t="s">
        <v>292</v>
      </c>
    </row>
    <row r="87" customFormat="false" ht="15" hidden="false" customHeight="false" outlineLevel="0" collapsed="false">
      <c r="A87" s="4" t="s">
        <v>231</v>
      </c>
      <c r="B87" s="7" t="n">
        <v>0.76</v>
      </c>
      <c r="C87" s="7" t="n">
        <v>180</v>
      </c>
      <c r="D87" s="8" t="n">
        <v>1000</v>
      </c>
      <c r="E87" s="5" t="s">
        <v>293</v>
      </c>
    </row>
    <row r="88" customFormat="false" ht="15" hidden="false" customHeight="false" outlineLevel="0" collapsed="false">
      <c r="A88" s="4" t="s">
        <v>233</v>
      </c>
      <c r="B88" s="7" t="n">
        <v>0.77</v>
      </c>
      <c r="C88" s="7" t="n">
        <v>30</v>
      </c>
      <c r="D88" s="8" t="n">
        <v>9000</v>
      </c>
      <c r="E88" s="5" t="s">
        <v>293</v>
      </c>
    </row>
    <row r="89" customFormat="false" ht="15" hidden="false" customHeight="false" outlineLevel="0" collapsed="false">
      <c r="A89" s="4" t="s">
        <v>235</v>
      </c>
      <c r="B89" s="7" t="n">
        <v>0.47</v>
      </c>
      <c r="C89" s="7" t="n">
        <v>90</v>
      </c>
      <c r="D89" s="8" t="n">
        <v>5000</v>
      </c>
      <c r="E89" s="5" t="s">
        <v>294</v>
      </c>
    </row>
    <row r="90" customFormat="false" ht="15" hidden="false" customHeight="false" outlineLevel="0" collapsed="false">
      <c r="A90" s="4" t="s">
        <v>237</v>
      </c>
      <c r="B90" s="7" t="n">
        <v>0.62</v>
      </c>
      <c r="C90" s="7" t="n">
        <v>180</v>
      </c>
      <c r="D90" s="8" t="n">
        <v>5000</v>
      </c>
      <c r="E90" s="5" t="s">
        <v>292</v>
      </c>
    </row>
    <row r="91" customFormat="false" ht="15" hidden="false" customHeight="false" outlineLevel="0" collapsed="false">
      <c r="A91" s="4" t="s">
        <v>239</v>
      </c>
      <c r="B91" s="7" t="n">
        <v>0.48</v>
      </c>
      <c r="C91" s="7" t="n">
        <v>180</v>
      </c>
      <c r="D91" s="8" t="n">
        <v>1000</v>
      </c>
      <c r="E91" s="5" t="s">
        <v>294</v>
      </c>
    </row>
    <row r="92" customFormat="false" ht="15" hidden="false" customHeight="false" outlineLevel="0" collapsed="false">
      <c r="A92" s="4" t="s">
        <v>241</v>
      </c>
      <c r="B92" s="7" t="n">
        <v>0.66</v>
      </c>
      <c r="C92" s="7" t="n">
        <v>30</v>
      </c>
      <c r="D92" s="8" t="n">
        <v>5000</v>
      </c>
      <c r="E92" s="5" t="s">
        <v>292</v>
      </c>
    </row>
    <row r="93" customFormat="false" ht="15" hidden="false" customHeight="false" outlineLevel="0" collapsed="false">
      <c r="A93" s="4" t="s">
        <v>243</v>
      </c>
      <c r="B93" s="7" t="n">
        <v>0.67</v>
      </c>
      <c r="C93" s="7" t="n">
        <v>90</v>
      </c>
      <c r="D93" s="8" t="n">
        <v>1000</v>
      </c>
      <c r="E93" s="5" t="s">
        <v>292</v>
      </c>
    </row>
    <row r="94" customFormat="false" ht="15" hidden="false" customHeight="false" outlineLevel="0" collapsed="false">
      <c r="A94" s="4" t="s">
        <v>245</v>
      </c>
      <c r="B94" s="7" t="n">
        <v>0.84</v>
      </c>
      <c r="C94" s="7" t="n">
        <v>60</v>
      </c>
      <c r="D94" s="8" t="n">
        <v>3000</v>
      </c>
      <c r="E94" s="5" t="s">
        <v>293</v>
      </c>
    </row>
    <row r="95" customFormat="false" ht="15" hidden="false" customHeight="false" outlineLevel="0" collapsed="false">
      <c r="A95" s="4" t="s">
        <v>247</v>
      </c>
      <c r="B95" s="7" t="n">
        <v>0.52</v>
      </c>
      <c r="C95" s="7" t="n">
        <v>30</v>
      </c>
      <c r="D95" s="8" t="n">
        <v>5000</v>
      </c>
      <c r="E95" s="5" t="s">
        <v>294</v>
      </c>
    </row>
    <row r="96" customFormat="false" ht="15" hidden="false" customHeight="false" outlineLevel="0" collapsed="false">
      <c r="A96" s="4" t="s">
        <v>249</v>
      </c>
      <c r="B96" s="7" t="n">
        <v>0.5</v>
      </c>
      <c r="C96" s="7" t="n">
        <v>90</v>
      </c>
      <c r="D96" s="8" t="n">
        <v>3000</v>
      </c>
      <c r="E96" s="5" t="s">
        <v>294</v>
      </c>
    </row>
    <row r="97" customFormat="false" ht="15" hidden="false" customHeight="false" outlineLevel="0" collapsed="false">
      <c r="A97" s="4" t="s">
        <v>251</v>
      </c>
      <c r="B97" s="7" t="n">
        <v>0.57</v>
      </c>
      <c r="C97" s="7" t="n">
        <v>180</v>
      </c>
      <c r="D97" s="8" t="n">
        <v>5000</v>
      </c>
      <c r="E97" s="5" t="s">
        <v>292</v>
      </c>
    </row>
    <row r="98" customFormat="false" ht="15" hidden="false" customHeight="false" outlineLevel="0" collapsed="false">
      <c r="A98" s="4" t="s">
        <v>253</v>
      </c>
      <c r="B98" s="7" t="n">
        <v>0.53</v>
      </c>
      <c r="C98" s="7" t="n">
        <v>180</v>
      </c>
      <c r="D98" s="8" t="n">
        <v>9000</v>
      </c>
      <c r="E98" s="5" t="s">
        <v>294</v>
      </c>
    </row>
    <row r="99" customFormat="false" ht="15" hidden="false" customHeight="false" outlineLevel="0" collapsed="false">
      <c r="A99" s="4" t="s">
        <v>255</v>
      </c>
      <c r="B99" s="7" t="n">
        <v>0.72</v>
      </c>
      <c r="C99" s="7" t="n">
        <v>30</v>
      </c>
      <c r="D99" s="8" t="n">
        <v>1000</v>
      </c>
      <c r="E99" s="5" t="s">
        <v>293</v>
      </c>
    </row>
    <row r="100" customFormat="false" ht="15" hidden="false" customHeight="false" outlineLevel="0" collapsed="false">
      <c r="A100" s="4" t="s">
        <v>257</v>
      </c>
      <c r="B100" s="7" t="n">
        <v>0.8</v>
      </c>
      <c r="C100" s="7" t="n">
        <v>180</v>
      </c>
      <c r="D100" s="8" t="n">
        <v>1000</v>
      </c>
      <c r="E100" s="5" t="s">
        <v>293</v>
      </c>
    </row>
    <row r="101" customFormat="false" ht="15" hidden="false" customHeight="false" outlineLevel="0" collapsed="false">
      <c r="A101" s="4" t="s">
        <v>259</v>
      </c>
      <c r="B101" s="7" t="n">
        <v>0.77</v>
      </c>
      <c r="C101" s="7" t="n">
        <v>90</v>
      </c>
      <c r="D101" s="8" t="n">
        <v>10000</v>
      </c>
      <c r="E101" s="5" t="s">
        <v>293</v>
      </c>
    </row>
    <row r="102" customFormat="false" ht="15" hidden="false" customHeight="false" outlineLevel="0" collapsed="false">
      <c r="A102" s="4" t="s">
        <v>261</v>
      </c>
      <c r="B102" s="7" t="n">
        <v>0.47</v>
      </c>
      <c r="C102" s="7" t="n">
        <v>180</v>
      </c>
      <c r="D102" s="8" t="n">
        <v>3000</v>
      </c>
      <c r="E102" s="5" t="s">
        <v>294</v>
      </c>
    </row>
    <row r="103" customFormat="false" ht="15" hidden="false" customHeight="false" outlineLevel="0" collapsed="false">
      <c r="A103" s="4" t="s">
        <v>263</v>
      </c>
      <c r="B103" s="7" t="n">
        <v>0.77</v>
      </c>
      <c r="C103" s="7" t="n">
        <v>90</v>
      </c>
      <c r="D103" s="8" t="n">
        <v>10000</v>
      </c>
      <c r="E103" s="5" t="s">
        <v>293</v>
      </c>
    </row>
    <row r="104" customFormat="false" ht="15" hidden="false" customHeight="false" outlineLevel="0" collapsed="false">
      <c r="A104" s="4" t="s">
        <v>265</v>
      </c>
      <c r="B104" s="7" t="n">
        <v>0.7</v>
      </c>
      <c r="C104" s="7" t="n">
        <v>180</v>
      </c>
      <c r="D104" s="8" t="n">
        <v>1000</v>
      </c>
      <c r="E104" s="5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27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15" hidden="false" customHeight="false" outlineLevel="0" collapsed="false">
      <c r="A4" s="3" t="s">
        <v>2</v>
      </c>
      <c r="B4" s="3" t="s">
        <v>279</v>
      </c>
      <c r="C4" s="3" t="s">
        <v>284</v>
      </c>
      <c r="D4" s="3" t="s">
        <v>297</v>
      </c>
    </row>
    <row r="5" customFormat="false" ht="15" hidden="false" customHeight="false" outlineLevel="0" collapsed="false">
      <c r="A5" s="4" t="s">
        <v>10</v>
      </c>
      <c r="B5" s="6" t="n">
        <f aca="false">Precision_Recall_F1!D5</f>
        <v>0.134637081609628</v>
      </c>
      <c r="C5" s="6" t="n">
        <f aca="false">Alert_Volumes!D5</f>
        <v>0.0544616673648932</v>
      </c>
      <c r="D5" s="6" t="n">
        <f aca="false">0.6*B5+0.4*C5</f>
        <v>0.102566915911734</v>
      </c>
    </row>
    <row r="6" customFormat="false" ht="15" hidden="false" customHeight="false" outlineLevel="0" collapsed="false">
      <c r="A6" s="4" t="s">
        <v>18</v>
      </c>
      <c r="B6" s="6" t="n">
        <f aca="false">Precision_Recall_F1!D6</f>
        <v>0.345887778631822</v>
      </c>
      <c r="C6" s="6" t="n">
        <f aca="false">Alert_Volumes!D6</f>
        <v>0.108716026241799</v>
      </c>
      <c r="D6" s="6" t="n">
        <f aca="false">0.6*B6+0.4*C6</f>
        <v>0.251019077675813</v>
      </c>
    </row>
    <row r="7" customFormat="false" ht="15" hidden="false" customHeight="false" outlineLevel="0" collapsed="false">
      <c r="A7" s="4" t="s">
        <v>25</v>
      </c>
      <c r="B7" s="6" t="n">
        <f aca="false">Precision_Recall_F1!D7</f>
        <v>0.0882445635045698</v>
      </c>
      <c r="C7" s="6" t="n">
        <f aca="false">Alert_Volumes!D7</f>
        <v>0.0211360634081902</v>
      </c>
      <c r="D7" s="6" t="n">
        <f aca="false">0.6*B7+0.4*C7</f>
        <v>0.061401163466018</v>
      </c>
    </row>
    <row r="8" customFormat="false" ht="15" hidden="false" customHeight="false" outlineLevel="0" collapsed="false">
      <c r="A8" s="4" t="s">
        <v>32</v>
      </c>
      <c r="B8" s="6" t="n">
        <f aca="false">Precision_Recall_F1!D8</f>
        <v>0.445849802371542</v>
      </c>
      <c r="C8" s="6" t="n">
        <f aca="false">Alert_Volumes!D8</f>
        <v>0.142212189616253</v>
      </c>
      <c r="D8" s="6" t="n">
        <f aca="false">0.6*B8+0.4*C8</f>
        <v>0.324394757269426</v>
      </c>
    </row>
    <row r="9" customFormat="false" ht="15" hidden="false" customHeight="false" outlineLevel="0" collapsed="false">
      <c r="A9" s="4" t="s">
        <v>40</v>
      </c>
      <c r="B9" s="6" t="n">
        <f aca="false">Precision_Recall_F1!D9</f>
        <v>0.276059019514517</v>
      </c>
      <c r="C9" s="6" t="n">
        <f aca="false">Alert_Volumes!D9</f>
        <v>0.0980502966939814</v>
      </c>
      <c r="D9" s="6" t="n">
        <f aca="false">0.6*B9+0.4*C9</f>
        <v>0.204855530386303</v>
      </c>
    </row>
    <row r="10" customFormat="false" ht="15" hidden="false" customHeight="false" outlineLevel="0" collapsed="false">
      <c r="A10" s="4" t="s">
        <v>48</v>
      </c>
      <c r="B10" s="6" t="n">
        <f aca="false">Precision_Recall_F1!D10</f>
        <v>0.355871886120996</v>
      </c>
      <c r="C10" s="6" t="n">
        <f aca="false">Alert_Volumes!D10</f>
        <v>0.142265713210388</v>
      </c>
      <c r="D10" s="6" t="n">
        <f aca="false">0.6*B10+0.4*C10</f>
        <v>0.270429416956753</v>
      </c>
    </row>
    <row r="11" customFormat="false" ht="15" hidden="false" customHeight="false" outlineLevel="0" collapsed="false">
      <c r="A11" s="4" t="s">
        <v>55</v>
      </c>
      <c r="B11" s="6" t="n">
        <f aca="false">Precision_Recall_F1!D11</f>
        <v>0.18009145269082</v>
      </c>
      <c r="C11" s="6" t="n">
        <f aca="false">Alert_Volumes!D11</f>
        <v>0.0623015873015873</v>
      </c>
      <c r="D11" s="6" t="n">
        <f aca="false">0.6*B11+0.4*C11</f>
        <v>0.132975506535127</v>
      </c>
    </row>
    <row r="12" customFormat="false" ht="15" hidden="false" customHeight="false" outlineLevel="0" collapsed="false">
      <c r="A12" s="4" t="s">
        <v>61</v>
      </c>
      <c r="B12" s="6" t="n">
        <f aca="false">Precision_Recall_F1!D12</f>
        <v>0.454545454545455</v>
      </c>
      <c r="C12" s="6" t="n">
        <f aca="false">Alert_Volumes!D12</f>
        <v>0.245402663284718</v>
      </c>
      <c r="D12" s="6" t="n">
        <f aca="false">0.6*B12+0.4*C12</f>
        <v>0.37088833804116</v>
      </c>
    </row>
    <row r="13" customFormat="false" ht="15" hidden="false" customHeight="false" outlineLevel="0" collapsed="false">
      <c r="A13" s="4" t="s">
        <v>67</v>
      </c>
      <c r="B13" s="6" t="n">
        <f aca="false">Precision_Recall_F1!D13</f>
        <v>0.587804878048781</v>
      </c>
      <c r="C13" s="6" t="n">
        <f aca="false">Alert_Volumes!D13</f>
        <v>0.268269230769231</v>
      </c>
      <c r="D13" s="6" t="n">
        <f aca="false">0.6*B13+0.4*C13</f>
        <v>0.459990619136961</v>
      </c>
    </row>
    <row r="14" customFormat="false" ht="15" hidden="false" customHeight="false" outlineLevel="0" collapsed="false">
      <c r="A14" s="4" t="s">
        <v>72</v>
      </c>
      <c r="B14" s="6" t="n">
        <f aca="false">Precision_Recall_F1!D14</f>
        <v>0.261985654964137</v>
      </c>
      <c r="C14" s="6" t="n">
        <f aca="false">Alert_Volumes!D14</f>
        <v>0.075521990226566</v>
      </c>
      <c r="D14" s="6" t="n">
        <f aca="false">0.6*B14+0.4*C14</f>
        <v>0.187400189069109</v>
      </c>
    </row>
    <row r="15" customFormat="false" ht="15" hidden="false" customHeight="false" outlineLevel="0" collapsed="false">
      <c r="A15" s="4" t="s">
        <v>77</v>
      </c>
      <c r="B15" s="6" t="n">
        <f aca="false">Precision_Recall_F1!D15</f>
        <v>0.555623100303951</v>
      </c>
      <c r="C15" s="6" t="n">
        <f aca="false">Alert_Volumes!D15</f>
        <v>0.227427597955707</v>
      </c>
      <c r="D15" s="6" t="n">
        <f aca="false">0.6*B15+0.4*C15</f>
        <v>0.424344899364654</v>
      </c>
    </row>
    <row r="16" customFormat="false" ht="15" hidden="false" customHeight="false" outlineLevel="0" collapsed="false">
      <c r="A16" s="4" t="s">
        <v>80</v>
      </c>
      <c r="B16" s="6" t="n">
        <f aca="false">Precision_Recall_F1!D16</f>
        <v>0.0301860301860302</v>
      </c>
      <c r="C16" s="6" t="n">
        <f aca="false">Alert_Volumes!D16</f>
        <v>0.0117983553807651</v>
      </c>
      <c r="D16" s="6" t="n">
        <f aca="false">0.6*B16+0.4*C16</f>
        <v>0.0228309602639242</v>
      </c>
    </row>
    <row r="17" customFormat="false" ht="15" hidden="false" customHeight="false" outlineLevel="0" collapsed="false">
      <c r="A17" s="4" t="s">
        <v>83</v>
      </c>
      <c r="B17" s="6" t="n">
        <f aca="false">Precision_Recall_F1!D17</f>
        <v>0.338579654510557</v>
      </c>
      <c r="C17" s="6" t="n">
        <f aca="false">Alert_Volumes!D17</f>
        <v>0.146062052505967</v>
      </c>
      <c r="D17" s="6" t="n">
        <f aca="false">0.6*B17+0.4*C17</f>
        <v>0.261572613708721</v>
      </c>
    </row>
    <row r="18" customFormat="false" ht="15" hidden="false" customHeight="false" outlineLevel="0" collapsed="false">
      <c r="A18" s="4" t="s">
        <v>86</v>
      </c>
      <c r="B18" s="6" t="n">
        <f aca="false">Precision_Recall_F1!D18</f>
        <v>0.323820617355853</v>
      </c>
      <c r="C18" s="6" t="n">
        <f aca="false">Alert_Volumes!D18</f>
        <v>0.14031339031339</v>
      </c>
      <c r="D18" s="6" t="n">
        <f aca="false">0.6*B18+0.4*C18</f>
        <v>0.250417726538868</v>
      </c>
    </row>
    <row r="19" customFormat="false" ht="15" hidden="false" customHeight="false" outlineLevel="0" collapsed="false">
      <c r="A19" s="4" t="s">
        <v>89</v>
      </c>
      <c r="B19" s="6" t="n">
        <f aca="false">Precision_Recall_F1!D19</f>
        <v>0.348695962843873</v>
      </c>
      <c r="C19" s="6" t="n">
        <f aca="false">Alert_Volumes!D19</f>
        <v>0.141585040071238</v>
      </c>
      <c r="D19" s="6" t="n">
        <f aca="false">0.6*B19+0.4*C19</f>
        <v>0.265851593734819</v>
      </c>
    </row>
    <row r="20" customFormat="false" ht="15" hidden="false" customHeight="false" outlineLevel="0" collapsed="false">
      <c r="A20" s="4" t="s">
        <v>92</v>
      </c>
      <c r="B20" s="6" t="n">
        <f aca="false">Precision_Recall_F1!D20</f>
        <v>0.244357976653697</v>
      </c>
      <c r="C20" s="6" t="n">
        <f aca="false">Alert_Volumes!D20</f>
        <v>0.0744580584354383</v>
      </c>
      <c r="D20" s="6" t="n">
        <f aca="false">0.6*B20+0.4*C20</f>
        <v>0.176398009366393</v>
      </c>
    </row>
    <row r="21" customFormat="false" ht="15" hidden="false" customHeight="false" outlineLevel="0" collapsed="false">
      <c r="A21" s="4" t="s">
        <v>95</v>
      </c>
      <c r="B21" s="6" t="n">
        <f aca="false">Precision_Recall_F1!D21</f>
        <v>0.0897703549060543</v>
      </c>
      <c r="C21" s="6" t="n">
        <f aca="false">Alert_Volumes!D21</f>
        <v>0.0164594001463058</v>
      </c>
      <c r="D21" s="6" t="n">
        <f aca="false">0.6*B21+0.4*C21</f>
        <v>0.0604459730021549</v>
      </c>
    </row>
    <row r="22" customFormat="false" ht="15" hidden="false" customHeight="false" outlineLevel="0" collapsed="false">
      <c r="A22" s="4" t="s">
        <v>98</v>
      </c>
      <c r="B22" s="6" t="n">
        <f aca="false">Precision_Recall_F1!D22</f>
        <v>0.712727272727273</v>
      </c>
      <c r="C22" s="6" t="n">
        <f aca="false">Alert_Volumes!D22</f>
        <v>0.483829236739974</v>
      </c>
      <c r="D22" s="6" t="n">
        <f aca="false">0.6*B22+0.4*C22</f>
        <v>0.621168058332353</v>
      </c>
    </row>
    <row r="23" customFormat="false" ht="15" hidden="false" customHeight="false" outlineLevel="0" collapsed="false">
      <c r="A23" s="4" t="s">
        <v>101</v>
      </c>
      <c r="B23" s="6" t="n">
        <f aca="false">Precision_Recall_F1!D23</f>
        <v>0.495793606281548</v>
      </c>
      <c r="C23" s="6" t="n">
        <f aca="false">Alert_Volumes!D23</f>
        <v>0.252525252525253</v>
      </c>
      <c r="D23" s="6" t="n">
        <f aca="false">0.6*B23+0.4*C23</f>
        <v>0.39848626477903</v>
      </c>
    </row>
    <row r="24" customFormat="false" ht="15" hidden="false" customHeight="false" outlineLevel="0" collapsed="false">
      <c r="A24" s="4" t="s">
        <v>104</v>
      </c>
      <c r="B24" s="6" t="n">
        <f aca="false">Precision_Recall_F1!D24</f>
        <v>0.101173020527859</v>
      </c>
      <c r="C24" s="6" t="n">
        <f aca="false">Alert_Volumes!D24</f>
        <v>0.0410729253981559</v>
      </c>
      <c r="D24" s="6" t="n">
        <f aca="false">0.6*B24+0.4*C24</f>
        <v>0.0771329824759779</v>
      </c>
    </row>
    <row r="25" customFormat="false" ht="15" hidden="false" customHeight="false" outlineLevel="0" collapsed="false">
      <c r="A25" s="4" t="s">
        <v>107</v>
      </c>
      <c r="B25" s="6" t="n">
        <f aca="false">Precision_Recall_F1!D25</f>
        <v>0.169786096256685</v>
      </c>
      <c r="C25" s="6" t="n">
        <f aca="false">Alert_Volumes!D25</f>
        <v>0.0579222720478326</v>
      </c>
      <c r="D25" s="6" t="n">
        <f aca="false">0.6*B25+0.4*C25</f>
        <v>0.125040566573144</v>
      </c>
    </row>
    <row r="26" customFormat="false" ht="15" hidden="false" customHeight="false" outlineLevel="0" collapsed="false">
      <c r="A26" s="4" t="s">
        <v>109</v>
      </c>
      <c r="B26" s="6" t="n">
        <f aca="false">Precision_Recall_F1!D26</f>
        <v>0.401299756295695</v>
      </c>
      <c r="C26" s="6" t="n">
        <f aca="false">Alert_Volumes!D26</f>
        <v>0.188118811881188</v>
      </c>
      <c r="D26" s="6" t="n">
        <f aca="false">0.6*B26+0.4*C26</f>
        <v>0.316027378529892</v>
      </c>
    </row>
    <row r="27" customFormat="false" ht="15" hidden="false" customHeight="false" outlineLevel="0" collapsed="false">
      <c r="A27" s="4" t="s">
        <v>111</v>
      </c>
      <c r="B27" s="6" t="n">
        <f aca="false">Precision_Recall_F1!D27</f>
        <v>0.642779587404995</v>
      </c>
      <c r="C27" s="6" t="n">
        <f aca="false">Alert_Volumes!D27</f>
        <v>0.195352839931153</v>
      </c>
      <c r="D27" s="6" t="n">
        <f aca="false">0.6*B27+0.4*C27</f>
        <v>0.463808888415458</v>
      </c>
    </row>
    <row r="28" customFormat="false" ht="15" hidden="false" customHeight="false" outlineLevel="0" collapsed="false">
      <c r="A28" s="4" t="s">
        <v>113</v>
      </c>
      <c r="B28" s="6" t="n">
        <f aca="false">Precision_Recall_F1!D28</f>
        <v>0.220253164556962</v>
      </c>
      <c r="C28" s="6" t="n">
        <f aca="false">Alert_Volumes!D28</f>
        <v>0.0592129459360059</v>
      </c>
      <c r="D28" s="6" t="n">
        <f aca="false">0.6*B28+0.4*C28</f>
        <v>0.15583707710858</v>
      </c>
    </row>
    <row r="29" customFormat="false" ht="15" hidden="false" customHeight="false" outlineLevel="0" collapsed="false">
      <c r="A29" s="4" t="s">
        <v>115</v>
      </c>
      <c r="B29" s="6" t="n">
        <f aca="false">Precision_Recall_F1!D29</f>
        <v>0.525215252152522</v>
      </c>
      <c r="C29" s="6" t="n">
        <f aca="false">Alert_Volumes!D29</f>
        <v>0.190104166666667</v>
      </c>
      <c r="D29" s="6" t="n">
        <f aca="false">0.6*B29+0.4*C29</f>
        <v>0.39117081795818</v>
      </c>
    </row>
    <row r="30" customFormat="false" ht="15" hidden="false" customHeight="false" outlineLevel="0" collapsed="false">
      <c r="A30" s="4" t="s">
        <v>117</v>
      </c>
      <c r="B30" s="6" t="n">
        <f aca="false">Precision_Recall_F1!D30</f>
        <v>0.458795180722892</v>
      </c>
      <c r="C30" s="6" t="n">
        <f aca="false">Alert_Volumes!D30</f>
        <v>0.150501672240803</v>
      </c>
      <c r="D30" s="6" t="n">
        <f aca="false">0.6*B30+0.4*C30</f>
        <v>0.335477777330056</v>
      </c>
    </row>
    <row r="31" customFormat="false" ht="15" hidden="false" customHeight="false" outlineLevel="0" collapsed="false">
      <c r="A31" s="4" t="s">
        <v>119</v>
      </c>
      <c r="B31" s="6" t="n">
        <f aca="false">Precision_Recall_F1!D31</f>
        <v>0.191446028513238</v>
      </c>
      <c r="C31" s="6" t="n">
        <f aca="false">Alert_Volumes!D31</f>
        <v>0.0815831987075929</v>
      </c>
      <c r="D31" s="6" t="n">
        <f aca="false">0.6*B31+0.4*C31</f>
        <v>0.14750089659098</v>
      </c>
    </row>
    <row r="32" customFormat="false" ht="15" hidden="false" customHeight="false" outlineLevel="0" collapsed="false">
      <c r="A32" s="4" t="s">
        <v>121</v>
      </c>
      <c r="B32" s="6" t="n">
        <f aca="false">Precision_Recall_F1!D32</f>
        <v>0.298047276464543</v>
      </c>
      <c r="C32" s="6" t="n">
        <f aca="false">Alert_Volumes!D32</f>
        <v>0.0981182795698925</v>
      </c>
      <c r="D32" s="6" t="n">
        <f aca="false">0.6*B32+0.4*C32</f>
        <v>0.218075677706683</v>
      </c>
    </row>
    <row r="33" customFormat="false" ht="15" hidden="false" customHeight="false" outlineLevel="0" collapsed="false">
      <c r="A33" s="4" t="s">
        <v>123</v>
      </c>
      <c r="B33" s="6" t="n">
        <f aca="false">Precision_Recall_F1!D33</f>
        <v>0.418234442836469</v>
      </c>
      <c r="C33" s="6" t="n">
        <f aca="false">Alert_Volumes!D33</f>
        <v>0.201154956689124</v>
      </c>
      <c r="D33" s="6" t="n">
        <f aca="false">0.6*B33+0.4*C33</f>
        <v>0.331402648377531</v>
      </c>
    </row>
    <row r="34" customFormat="false" ht="15" hidden="false" customHeight="false" outlineLevel="0" collapsed="false">
      <c r="A34" s="4" t="s">
        <v>125</v>
      </c>
      <c r="B34" s="6" t="n">
        <f aca="false">Precision_Recall_F1!D34</f>
        <v>0.159079539769885</v>
      </c>
      <c r="C34" s="6" t="n">
        <f aca="false">Alert_Volumes!D34</f>
        <v>0.0530093870789619</v>
      </c>
      <c r="D34" s="6" t="n">
        <f aca="false">0.6*B34+0.4*C34</f>
        <v>0.116651478693516</v>
      </c>
    </row>
    <row r="35" customFormat="false" ht="15" hidden="false" customHeight="false" outlineLevel="0" collapsed="false">
      <c r="A35" s="4" t="s">
        <v>127</v>
      </c>
      <c r="B35" s="6" t="n">
        <f aca="false">Precision_Recall_F1!D35</f>
        <v>0.285029940119761</v>
      </c>
      <c r="C35" s="6" t="n">
        <f aca="false">Alert_Volumes!D35</f>
        <v>0.0683890577507599</v>
      </c>
      <c r="D35" s="6" t="n">
        <f aca="false">0.6*B35+0.4*C35</f>
        <v>0.19837358717216</v>
      </c>
    </row>
    <row r="36" customFormat="false" ht="15" hidden="false" customHeight="false" outlineLevel="0" collapsed="false">
      <c r="A36" s="4" t="s">
        <v>129</v>
      </c>
      <c r="B36" s="6" t="n">
        <f aca="false">Precision_Recall_F1!D36</f>
        <v>0.175722543352601</v>
      </c>
      <c r="C36" s="6" t="n">
        <f aca="false">Alert_Volumes!D36</f>
        <v>0.040703353956366</v>
      </c>
      <c r="D36" s="6" t="n">
        <f aca="false">0.6*B36+0.4*C36</f>
        <v>0.121714867594107</v>
      </c>
    </row>
    <row r="37" customFormat="false" ht="15" hidden="false" customHeight="false" outlineLevel="0" collapsed="false">
      <c r="A37" s="4" t="s">
        <v>131</v>
      </c>
      <c r="B37" s="6" t="n">
        <f aca="false">Precision_Recall_F1!D37</f>
        <v>0.305084745762712</v>
      </c>
      <c r="C37" s="6" t="n">
        <f aca="false">Alert_Volumes!D37</f>
        <v>0.125315998555435</v>
      </c>
      <c r="D37" s="6" t="n">
        <f aca="false">0.6*B37+0.4*C37</f>
        <v>0.233177246879801</v>
      </c>
    </row>
    <row r="38" customFormat="false" ht="15" hidden="false" customHeight="false" outlineLevel="0" collapsed="false">
      <c r="A38" s="4" t="s">
        <v>133</v>
      </c>
      <c r="B38" s="6" t="n">
        <f aca="false">Precision_Recall_F1!D38</f>
        <v>0.531211750305997</v>
      </c>
      <c r="C38" s="6" t="n">
        <f aca="false">Alert_Volumes!D38</f>
        <v>0.152854511970534</v>
      </c>
      <c r="D38" s="6" t="n">
        <f aca="false">0.6*B38+0.4*C38</f>
        <v>0.379868854971812</v>
      </c>
    </row>
    <row r="39" customFormat="false" ht="15" hidden="false" customHeight="false" outlineLevel="0" collapsed="false">
      <c r="A39" s="4" t="s">
        <v>135</v>
      </c>
      <c r="B39" s="6" t="n">
        <f aca="false">Precision_Recall_F1!D39</f>
        <v>0.148950131233596</v>
      </c>
      <c r="C39" s="6" t="n">
        <f aca="false">Alert_Volumes!D39</f>
        <v>0.0439721509710517</v>
      </c>
      <c r="D39" s="6" t="n">
        <f aca="false">0.6*B39+0.4*C39</f>
        <v>0.106958939128578</v>
      </c>
    </row>
    <row r="40" customFormat="false" ht="15" hidden="false" customHeight="false" outlineLevel="0" collapsed="false">
      <c r="A40" s="4" t="s">
        <v>137</v>
      </c>
      <c r="B40" s="6" t="n">
        <f aca="false">Precision_Recall_F1!D40</f>
        <v>0.299528301886792</v>
      </c>
      <c r="C40" s="6" t="n">
        <f aca="false">Alert_Volumes!D40</f>
        <v>0.0984528832630098</v>
      </c>
      <c r="D40" s="6" t="n">
        <f aca="false">0.6*B40+0.4*C40</f>
        <v>0.219098134437279</v>
      </c>
    </row>
    <row r="41" customFormat="false" ht="15" hidden="false" customHeight="false" outlineLevel="0" collapsed="false">
      <c r="A41" s="4" t="s">
        <v>139</v>
      </c>
      <c r="B41" s="6" t="n">
        <f aca="false">Precision_Recall_F1!D41</f>
        <v>0.289676425269646</v>
      </c>
      <c r="C41" s="6" t="n">
        <f aca="false">Alert_Volumes!D41</f>
        <v>0.114206128133705</v>
      </c>
      <c r="D41" s="6" t="n">
        <f aca="false">0.6*B41+0.4*C41</f>
        <v>0.219488306415269</v>
      </c>
    </row>
    <row r="42" customFormat="false" ht="15" hidden="false" customHeight="false" outlineLevel="0" collapsed="false">
      <c r="A42" s="4" t="s">
        <v>141</v>
      </c>
      <c r="B42" s="6" t="n">
        <f aca="false">Precision_Recall_F1!D42</f>
        <v>0.662079510703364</v>
      </c>
      <c r="C42" s="6" t="n">
        <f aca="false">Alert_Volumes!D42</f>
        <v>0.273764258555133</v>
      </c>
      <c r="D42" s="6" t="n">
        <f aca="false">0.6*B42+0.4*C42</f>
        <v>0.506753409844072</v>
      </c>
    </row>
    <row r="43" customFormat="false" ht="15" hidden="false" customHeight="false" outlineLevel="0" collapsed="false">
      <c r="A43" s="4" t="s">
        <v>143</v>
      </c>
      <c r="B43" s="6" t="n">
        <f aca="false">Precision_Recall_F1!D43</f>
        <v>0.242458415562447</v>
      </c>
      <c r="C43" s="6" t="n">
        <f aca="false">Alert_Volumes!D43</f>
        <v>0.0618421052631579</v>
      </c>
      <c r="D43" s="6" t="n">
        <f aca="false">0.6*B43+0.4*C43</f>
        <v>0.170211891442731</v>
      </c>
    </row>
    <row r="44" customFormat="false" ht="15" hidden="false" customHeight="false" outlineLevel="0" collapsed="false">
      <c r="A44" s="4" t="s">
        <v>145</v>
      </c>
      <c r="B44" s="6" t="n">
        <f aca="false">Precision_Recall_F1!D44</f>
        <v>0.324341891452714</v>
      </c>
      <c r="C44" s="6" t="n">
        <f aca="false">Alert_Volumes!D44</f>
        <v>0.141796875</v>
      </c>
      <c r="D44" s="6" t="n">
        <f aca="false">0.6*B44+0.4*C44</f>
        <v>0.251323884871628</v>
      </c>
    </row>
    <row r="45" customFormat="false" ht="15" hidden="false" customHeight="false" outlineLevel="0" collapsed="false">
      <c r="A45" s="4" t="s">
        <v>147</v>
      </c>
      <c r="B45" s="6" t="n">
        <f aca="false">Precision_Recall_F1!D45</f>
        <v>0.2990834539315</v>
      </c>
      <c r="C45" s="6" t="n">
        <f aca="false">Alert_Volumes!D45</f>
        <v>0.0674157303370787</v>
      </c>
      <c r="D45" s="6" t="n">
        <f aca="false">0.6*B45+0.4*C45</f>
        <v>0.206416364493732</v>
      </c>
    </row>
    <row r="46" customFormat="false" ht="15" hidden="false" customHeight="false" outlineLevel="0" collapsed="false">
      <c r="A46" s="4" t="s">
        <v>149</v>
      </c>
      <c r="B46" s="6" t="n">
        <f aca="false">Precision_Recall_F1!D46</f>
        <v>0.68370607028754</v>
      </c>
      <c r="C46" s="6" t="n">
        <f aca="false">Alert_Volumes!D46</f>
        <v>0.316469321851453</v>
      </c>
      <c r="D46" s="6" t="n">
        <f aca="false">0.6*B46+0.4*C46</f>
        <v>0.536811370913105</v>
      </c>
    </row>
    <row r="47" customFormat="false" ht="15" hidden="false" customHeight="false" outlineLevel="0" collapsed="false">
      <c r="A47" s="4" t="s">
        <v>151</v>
      </c>
      <c r="B47" s="6" t="n">
        <f aca="false">Precision_Recall_F1!D47</f>
        <v>0.457063711911357</v>
      </c>
      <c r="C47" s="6" t="n">
        <f aca="false">Alert_Volumes!D47</f>
        <v>0.159367396593674</v>
      </c>
      <c r="D47" s="6" t="n">
        <f aca="false">0.6*B47+0.4*C47</f>
        <v>0.337985185784284</v>
      </c>
    </row>
    <row r="48" customFormat="false" ht="15" hidden="false" customHeight="false" outlineLevel="0" collapsed="false">
      <c r="A48" s="4" t="s">
        <v>153</v>
      </c>
      <c r="B48" s="6" t="n">
        <f aca="false">Precision_Recall_F1!D48</f>
        <v>0.369918699186992</v>
      </c>
      <c r="C48" s="6" t="n">
        <f aca="false">Alert_Volumes!D48</f>
        <v>0.147945205479452</v>
      </c>
      <c r="D48" s="6" t="n">
        <f aca="false">0.6*B48+0.4*C48</f>
        <v>0.281129301703976</v>
      </c>
    </row>
    <row r="49" customFormat="false" ht="15" hidden="false" customHeight="false" outlineLevel="0" collapsed="false">
      <c r="A49" s="4" t="s">
        <v>155</v>
      </c>
      <c r="B49" s="6" t="n">
        <f aca="false">Precision_Recall_F1!D49</f>
        <v>0.337684449489217</v>
      </c>
      <c r="C49" s="6" t="n">
        <f aca="false">Alert_Volumes!D49</f>
        <v>0.147213459516299</v>
      </c>
      <c r="D49" s="6" t="n">
        <f aca="false">0.6*B49+0.4*C49</f>
        <v>0.26149605350005</v>
      </c>
    </row>
    <row r="50" customFormat="false" ht="15" hidden="false" customHeight="false" outlineLevel="0" collapsed="false">
      <c r="A50" s="4" t="s">
        <v>157</v>
      </c>
      <c r="B50" s="6" t="n">
        <f aca="false">Precision_Recall_F1!D50</f>
        <v>0.67262969588551</v>
      </c>
      <c r="C50" s="6" t="n">
        <f aca="false">Alert_Volumes!D50</f>
        <v>0.268684957426679</v>
      </c>
      <c r="D50" s="6" t="n">
        <f aca="false">0.6*B50+0.4*C50</f>
        <v>0.511051800501978</v>
      </c>
    </row>
    <row r="51" customFormat="false" ht="15" hidden="false" customHeight="false" outlineLevel="0" collapsed="false">
      <c r="A51" s="4" t="s">
        <v>159</v>
      </c>
      <c r="B51" s="6" t="n">
        <f aca="false">Precision_Recall_F1!D51</f>
        <v>0.233253588516746</v>
      </c>
      <c r="C51" s="6" t="n">
        <f aca="false">Alert_Volumes!D51</f>
        <v>0.0524880708929789</v>
      </c>
      <c r="D51" s="6" t="n">
        <f aca="false">0.6*B51+0.4*C51</f>
        <v>0.160947381467239</v>
      </c>
    </row>
    <row r="52" customFormat="false" ht="15" hidden="false" customHeight="false" outlineLevel="0" collapsed="false">
      <c r="A52" s="4" t="s">
        <v>161</v>
      </c>
      <c r="B52" s="6" t="n">
        <f aca="false">Precision_Recall_F1!D52</f>
        <v>0.223283582089552</v>
      </c>
      <c r="C52" s="6" t="n">
        <f aca="false">Alert_Volumes!D52</f>
        <v>0.0735809390329362</v>
      </c>
      <c r="D52" s="6" t="n">
        <f aca="false">0.6*B52+0.4*C52</f>
        <v>0.163402524866906</v>
      </c>
    </row>
    <row r="53" customFormat="false" ht="15" hidden="false" customHeight="false" outlineLevel="0" collapsed="false">
      <c r="A53" s="4" t="s">
        <v>163</v>
      </c>
      <c r="B53" s="6" t="n">
        <f aca="false">Precision_Recall_F1!D53</f>
        <v>0.779661016949153</v>
      </c>
      <c r="C53" s="6" t="n">
        <f aca="false">Alert_Volumes!D53</f>
        <v>0.349809885931559</v>
      </c>
      <c r="D53" s="6" t="n">
        <f aca="false">0.6*B53+0.4*C53</f>
        <v>0.607720564542115</v>
      </c>
    </row>
    <row r="54" customFormat="false" ht="15" hidden="false" customHeight="false" outlineLevel="0" collapsed="false">
      <c r="A54" s="4" t="s">
        <v>165</v>
      </c>
      <c r="B54" s="6" t="n">
        <f aca="false">Precision_Recall_F1!D54</f>
        <v>0.398154719659333</v>
      </c>
      <c r="C54" s="6" t="n">
        <f aca="false">Alert_Volumes!D54</f>
        <v>0.176085941148996</v>
      </c>
      <c r="D54" s="6" t="n">
        <f aca="false">0.6*B54+0.4*C54</f>
        <v>0.309327208255198</v>
      </c>
    </row>
    <row r="55" customFormat="false" ht="15" hidden="false" customHeight="false" outlineLevel="0" collapsed="false">
      <c r="A55" s="4" t="s">
        <v>167</v>
      </c>
      <c r="B55" s="6" t="n">
        <f aca="false">Precision_Recall_F1!D55</f>
        <v>0.129570747217806</v>
      </c>
      <c r="C55" s="6" t="n">
        <f aca="false">Alert_Volumes!D55</f>
        <v>0.028866867729427</v>
      </c>
      <c r="D55" s="6" t="n">
        <f aca="false">0.6*B55+0.4*C55</f>
        <v>0.0892891954224544</v>
      </c>
    </row>
    <row r="56" customFormat="false" ht="15" hidden="false" customHeight="false" outlineLevel="0" collapsed="false">
      <c r="A56" s="4" t="s">
        <v>169</v>
      </c>
      <c r="B56" s="6" t="n">
        <f aca="false">Precision_Recall_F1!D56</f>
        <v>0.654194327097164</v>
      </c>
      <c r="C56" s="6" t="n">
        <f aca="false">Alert_Volumes!D56</f>
        <v>0.308510638297872</v>
      </c>
      <c r="D56" s="6" t="n">
        <f aca="false">0.6*B56+0.4*C56</f>
        <v>0.515920851577447</v>
      </c>
    </row>
    <row r="57" customFormat="false" ht="15" hidden="false" customHeight="false" outlineLevel="0" collapsed="false">
      <c r="A57" s="4" t="s">
        <v>171</v>
      </c>
      <c r="B57" s="6" t="n">
        <f aca="false">Precision_Recall_F1!D57</f>
        <v>0.585723001830384</v>
      </c>
      <c r="C57" s="6" t="n">
        <f aca="false">Alert_Volumes!D57</f>
        <v>0.269603524229075</v>
      </c>
      <c r="D57" s="6" t="n">
        <f aca="false">0.6*B57+0.4*C57</f>
        <v>0.459275210789861</v>
      </c>
    </row>
    <row r="58" customFormat="false" ht="15" hidden="false" customHeight="false" outlineLevel="0" collapsed="false">
      <c r="A58" s="4" t="s">
        <v>173</v>
      </c>
      <c r="B58" s="6" t="n">
        <f aca="false">Precision_Recall_F1!D58</f>
        <v>0.0813172043010753</v>
      </c>
      <c r="C58" s="6" t="n">
        <f aca="false">Alert_Volumes!D58</f>
        <v>0.0281385281385281</v>
      </c>
      <c r="D58" s="6" t="n">
        <f aca="false">0.6*B58+0.4*C58</f>
        <v>0.0600457338360564</v>
      </c>
    </row>
    <row r="59" customFormat="false" ht="15" hidden="false" customHeight="false" outlineLevel="0" collapsed="false">
      <c r="A59" s="4" t="s">
        <v>175</v>
      </c>
      <c r="B59" s="6" t="n">
        <f aca="false">Precision_Recall_F1!D59</f>
        <v>0.286792452830189</v>
      </c>
      <c r="C59" s="6" t="n">
        <f aca="false">Alert_Volumes!D59</f>
        <v>0.065415244596132</v>
      </c>
      <c r="D59" s="6" t="n">
        <f aca="false">0.6*B59+0.4*C59</f>
        <v>0.198241569536566</v>
      </c>
    </row>
    <row r="60" customFormat="false" ht="15" hidden="false" customHeight="false" outlineLevel="0" collapsed="false">
      <c r="A60" s="4" t="s">
        <v>177</v>
      </c>
      <c r="B60" s="6" t="n">
        <f aca="false">Precision_Recall_F1!D60</f>
        <v>0.15856329391152</v>
      </c>
      <c r="C60" s="6" t="n">
        <f aca="false">Alert_Volumes!D60</f>
        <v>0.0604093859211183</v>
      </c>
      <c r="D60" s="6" t="n">
        <f aca="false">0.6*B60+0.4*C60</f>
        <v>0.119301730715359</v>
      </c>
    </row>
    <row r="61" customFormat="false" ht="15" hidden="false" customHeight="false" outlineLevel="0" collapsed="false">
      <c r="A61" s="4" t="s">
        <v>179</v>
      </c>
      <c r="B61" s="6" t="n">
        <f aca="false">Precision_Recall_F1!D61</f>
        <v>0.355248819469669</v>
      </c>
      <c r="C61" s="6" t="n">
        <f aca="false">Alert_Volumes!D61</f>
        <v>0.172972972972973</v>
      </c>
      <c r="D61" s="6" t="n">
        <f aca="false">0.6*B61+0.4*C61</f>
        <v>0.282338480870991</v>
      </c>
    </row>
    <row r="62" customFormat="false" ht="15" hidden="false" customHeight="false" outlineLevel="0" collapsed="false">
      <c r="A62" s="4" t="s">
        <v>181</v>
      </c>
      <c r="B62" s="6" t="n">
        <f aca="false">Precision_Recall_F1!D62</f>
        <v>0.0529688167449808</v>
      </c>
      <c r="C62" s="6" t="n">
        <f aca="false">Alert_Volumes!D62</f>
        <v>0.0151245551601423</v>
      </c>
      <c r="D62" s="6" t="n">
        <f aca="false">0.6*B62+0.4*C62</f>
        <v>0.0378311121110454</v>
      </c>
    </row>
    <row r="63" customFormat="false" ht="15" hidden="false" customHeight="false" outlineLevel="0" collapsed="false">
      <c r="A63" s="4" t="s">
        <v>183</v>
      </c>
      <c r="B63" s="6" t="n">
        <f aca="false">Precision_Recall_F1!D63</f>
        <v>0.220255653883972</v>
      </c>
      <c r="C63" s="6" t="n">
        <f aca="false">Alert_Volumes!D63</f>
        <v>0.0694288913773796</v>
      </c>
      <c r="D63" s="6" t="n">
        <f aca="false">0.6*B63+0.4*C63</f>
        <v>0.159924948881335</v>
      </c>
    </row>
    <row r="64" customFormat="false" ht="15" hidden="false" customHeight="false" outlineLevel="0" collapsed="false">
      <c r="A64" s="4" t="s">
        <v>185</v>
      </c>
      <c r="B64" s="6" t="n">
        <f aca="false">Precision_Recall_F1!D64</f>
        <v>0.266222961730449</v>
      </c>
      <c r="C64" s="6" t="n">
        <f aca="false">Alert_Volumes!D64</f>
        <v>0.0934065934065934</v>
      </c>
      <c r="D64" s="6" t="n">
        <f aca="false">0.6*B64+0.4*C64</f>
        <v>0.197096414400907</v>
      </c>
    </row>
    <row r="65" customFormat="false" ht="15" hidden="false" customHeight="false" outlineLevel="0" collapsed="false">
      <c r="A65" s="4" t="s">
        <v>187</v>
      </c>
      <c r="B65" s="6" t="n">
        <f aca="false">Precision_Recall_F1!D65</f>
        <v>0.288095858296431</v>
      </c>
      <c r="C65" s="6" t="n">
        <f aca="false">Alert_Volumes!D65</f>
        <v>0.0668130489335006</v>
      </c>
      <c r="D65" s="6" t="n">
        <f aca="false">0.6*B65+0.4*C65</f>
        <v>0.199582734551259</v>
      </c>
    </row>
    <row r="66" customFormat="false" ht="15" hidden="false" customHeight="false" outlineLevel="0" collapsed="false">
      <c r="A66" s="4" t="s">
        <v>189</v>
      </c>
      <c r="B66" s="6" t="n">
        <f aca="false">Precision_Recall_F1!D66</f>
        <v>0.398699891657638</v>
      </c>
      <c r="C66" s="6" t="n">
        <f aca="false">Alert_Volumes!D66</f>
        <v>0.0962152302781578</v>
      </c>
      <c r="D66" s="6" t="n">
        <f aca="false">0.6*B66+0.4*C66</f>
        <v>0.277706027105846</v>
      </c>
    </row>
    <row r="67" customFormat="false" ht="15" hidden="false" customHeight="false" outlineLevel="0" collapsed="false">
      <c r="A67" s="4" t="s">
        <v>191</v>
      </c>
      <c r="B67" s="6" t="n">
        <f aca="false">Precision_Recall_F1!D67</f>
        <v>0.285643808584114</v>
      </c>
      <c r="C67" s="6" t="n">
        <f aca="false">Alert_Volumes!D67</f>
        <v>0.0863981319322826</v>
      </c>
      <c r="D67" s="6" t="n">
        <f aca="false">0.6*B67+0.4*C67</f>
        <v>0.205945537923382</v>
      </c>
    </row>
    <row r="68" customFormat="false" ht="15" hidden="false" customHeight="false" outlineLevel="0" collapsed="false">
      <c r="A68" s="4" t="s">
        <v>193</v>
      </c>
      <c r="B68" s="6" t="n">
        <f aca="false">Precision_Recall_F1!D68</f>
        <v>0.244694132334582</v>
      </c>
      <c r="C68" s="6" t="n">
        <f aca="false">Alert_Volumes!D68</f>
        <v>0.100293542074364</v>
      </c>
      <c r="D68" s="6" t="n">
        <f aca="false">0.6*B68+0.4*C68</f>
        <v>0.186933896230495</v>
      </c>
    </row>
    <row r="69" customFormat="false" ht="15" hidden="false" customHeight="false" outlineLevel="0" collapsed="false">
      <c r="A69" s="4" t="s">
        <v>195</v>
      </c>
      <c r="B69" s="6" t="n">
        <f aca="false">Precision_Recall_F1!D69</f>
        <v>0.66167290886392</v>
      </c>
      <c r="C69" s="6" t="n">
        <f aca="false">Alert_Volumes!D69</f>
        <v>0.362903225806452</v>
      </c>
      <c r="D69" s="6" t="n">
        <f aca="false">0.6*B69+0.4*C69</f>
        <v>0.542165035640933</v>
      </c>
    </row>
    <row r="70" customFormat="false" ht="15" hidden="false" customHeight="false" outlineLevel="0" collapsed="false">
      <c r="A70" s="4" t="s">
        <v>197</v>
      </c>
      <c r="B70" s="6" t="n">
        <f aca="false">Precision_Recall_F1!D70</f>
        <v>0.304172274562584</v>
      </c>
      <c r="C70" s="6" t="n">
        <f aca="false">Alert_Volumes!D70</f>
        <v>0.0769854132901135</v>
      </c>
      <c r="D70" s="6" t="n">
        <f aca="false">0.6*B70+0.4*C70</f>
        <v>0.213297530053596</v>
      </c>
    </row>
    <row r="71" customFormat="false" ht="15" hidden="false" customHeight="false" outlineLevel="0" collapsed="false">
      <c r="A71" s="4" t="s">
        <v>199</v>
      </c>
      <c r="B71" s="6" t="n">
        <f aca="false">Precision_Recall_F1!D71</f>
        <v>0.280166435506241</v>
      </c>
      <c r="C71" s="6" t="n">
        <f aca="false">Alert_Volumes!D71</f>
        <v>0.065118912797282</v>
      </c>
      <c r="D71" s="6" t="n">
        <f aca="false">0.6*B71+0.4*C71</f>
        <v>0.194147426422658</v>
      </c>
    </row>
    <row r="72" customFormat="false" ht="15" hidden="false" customHeight="false" outlineLevel="0" collapsed="false">
      <c r="A72" s="4" t="s">
        <v>201</v>
      </c>
      <c r="B72" s="6" t="n">
        <f aca="false">Precision_Recall_F1!D72</f>
        <v>0.212692967409949</v>
      </c>
      <c r="C72" s="6" t="n">
        <f aca="false">Alert_Volumes!D72</f>
        <v>0.104308390022676</v>
      </c>
      <c r="D72" s="6" t="n">
        <f aca="false">0.6*B72+0.4*C72</f>
        <v>0.169339136455039</v>
      </c>
    </row>
    <row r="73" customFormat="false" ht="15" hidden="false" customHeight="false" outlineLevel="0" collapsed="false">
      <c r="A73" s="4" t="s">
        <v>203</v>
      </c>
      <c r="B73" s="6" t="n">
        <f aca="false">Precision_Recall_F1!D73</f>
        <v>0.36</v>
      </c>
      <c r="C73" s="6" t="n">
        <f aca="false">Alert_Volumes!D73</f>
        <v>0.09985935302391</v>
      </c>
      <c r="D73" s="6" t="n">
        <f aca="false">0.6*B73+0.4*C73</f>
        <v>0.255943741209564</v>
      </c>
    </row>
    <row r="74" customFormat="false" ht="15" hidden="false" customHeight="false" outlineLevel="0" collapsed="false">
      <c r="A74" s="4" t="s">
        <v>205</v>
      </c>
      <c r="B74" s="6" t="n">
        <f aca="false">Precision_Recall_F1!D74</f>
        <v>0.293948126801153</v>
      </c>
      <c r="C74" s="6" t="n">
        <f aca="false">Alert_Volumes!D74</f>
        <v>0.118772018117765</v>
      </c>
      <c r="D74" s="6" t="n">
        <f aca="false">0.6*B74+0.4*C74</f>
        <v>0.223877683327798</v>
      </c>
    </row>
    <row r="75" customFormat="false" ht="15" hidden="false" customHeight="false" outlineLevel="0" collapsed="false">
      <c r="A75" s="4" t="s">
        <v>207</v>
      </c>
      <c r="B75" s="6" t="n">
        <f aca="false">Precision_Recall_F1!D75</f>
        <v>0.219409282700422</v>
      </c>
      <c r="C75" s="6" t="n">
        <f aca="false">Alert_Volumes!D75</f>
        <v>0.0484848484848485</v>
      </c>
      <c r="D75" s="6" t="n">
        <f aca="false">0.6*B75+0.4*C75</f>
        <v>0.151039509014193</v>
      </c>
    </row>
    <row r="76" customFormat="false" ht="15" hidden="false" customHeight="false" outlineLevel="0" collapsed="false">
      <c r="A76" s="4" t="s">
        <v>209</v>
      </c>
      <c r="B76" s="6" t="n">
        <f aca="false">Precision_Recall_F1!D76</f>
        <v>0.661279461279461</v>
      </c>
      <c r="C76" s="6" t="n">
        <f aca="false">Alert_Volumes!D76</f>
        <v>0.347729789590255</v>
      </c>
      <c r="D76" s="6" t="n">
        <f aca="false">0.6*B76+0.4*C76</f>
        <v>0.535859592603779</v>
      </c>
    </row>
    <row r="77" customFormat="false" ht="15" hidden="false" customHeight="false" outlineLevel="0" collapsed="false">
      <c r="A77" s="4" t="s">
        <v>211</v>
      </c>
      <c r="B77" s="6" t="n">
        <f aca="false">Precision_Recall_F1!D77</f>
        <v>0.313364055299539</v>
      </c>
      <c r="C77" s="6" t="n">
        <f aca="false">Alert_Volumes!D77</f>
        <v>0.0811638591117917</v>
      </c>
      <c r="D77" s="6" t="n">
        <f aca="false">0.6*B77+0.4*C77</f>
        <v>0.22048397682444</v>
      </c>
    </row>
    <row r="78" customFormat="false" ht="15" hidden="false" customHeight="false" outlineLevel="0" collapsed="false">
      <c r="A78" s="4" t="s">
        <v>213</v>
      </c>
      <c r="B78" s="6" t="n">
        <f aca="false">Precision_Recall_F1!D78</f>
        <v>0.483952702702703</v>
      </c>
      <c r="C78" s="6" t="n">
        <f aca="false">Alert_Volumes!D78</f>
        <v>0.256944444444444</v>
      </c>
      <c r="D78" s="6" t="n">
        <f aca="false">0.6*B78+0.4*C78</f>
        <v>0.393149399399399</v>
      </c>
    </row>
    <row r="79" customFormat="false" ht="15" hidden="false" customHeight="false" outlineLevel="0" collapsed="false">
      <c r="A79" s="4" t="s">
        <v>215</v>
      </c>
      <c r="B79" s="6" t="n">
        <f aca="false">Precision_Recall_F1!D79</f>
        <v>0.219972067039106</v>
      </c>
      <c r="C79" s="6" t="n">
        <f aca="false">Alert_Volumes!D79</f>
        <v>0.0881542699724518</v>
      </c>
      <c r="D79" s="6" t="n">
        <f aca="false">0.6*B79+0.4*C79</f>
        <v>0.167244948212444</v>
      </c>
    </row>
    <row r="80" customFormat="false" ht="15" hidden="false" customHeight="false" outlineLevel="0" collapsed="false">
      <c r="A80" s="4" t="s">
        <v>217</v>
      </c>
      <c r="B80" s="6" t="n">
        <f aca="false">Precision_Recall_F1!D80</f>
        <v>0.0613409415121255</v>
      </c>
      <c r="C80" s="6" t="n">
        <f aca="false">Alert_Volumes!D80</f>
        <v>0.0243536905207943</v>
      </c>
      <c r="D80" s="6" t="n">
        <f aca="false">0.6*B80+0.4*C80</f>
        <v>0.046546041115593</v>
      </c>
    </row>
    <row r="81" customFormat="false" ht="15" hidden="false" customHeight="false" outlineLevel="0" collapsed="false">
      <c r="A81" s="4" t="s">
        <v>219</v>
      </c>
      <c r="B81" s="6" t="n">
        <f aca="false">Precision_Recall_F1!D81</f>
        <v>0.27072758037225</v>
      </c>
      <c r="C81" s="6" t="n">
        <f aca="false">Alert_Volumes!D81</f>
        <v>0.0758928571428571</v>
      </c>
      <c r="D81" s="6" t="n">
        <f aca="false">0.6*B81+0.4*C81</f>
        <v>0.192793691080493</v>
      </c>
    </row>
    <row r="82" customFormat="false" ht="15" hidden="false" customHeight="false" outlineLevel="0" collapsed="false">
      <c r="A82" s="4" t="s">
        <v>221</v>
      </c>
      <c r="B82" s="6" t="n">
        <f aca="false">Precision_Recall_F1!D82</f>
        <v>0.216412114936578</v>
      </c>
      <c r="C82" s="6" t="n">
        <f aca="false">Alert_Volumes!D82</f>
        <v>0.055327868852459</v>
      </c>
      <c r="D82" s="6" t="n">
        <f aca="false">0.6*B82+0.4*C82</f>
        <v>0.15197841650293</v>
      </c>
    </row>
    <row r="83" customFormat="false" ht="15" hidden="false" customHeight="false" outlineLevel="0" collapsed="false">
      <c r="A83" s="4" t="s">
        <v>223</v>
      </c>
      <c r="B83" s="6" t="n">
        <f aca="false">Precision_Recall_F1!D83</f>
        <v>0.296940418679549</v>
      </c>
      <c r="C83" s="6" t="n">
        <f aca="false">Alert_Volumes!D83</f>
        <v>0.14251968503937</v>
      </c>
      <c r="D83" s="6" t="n">
        <f aca="false">0.6*B83+0.4*C83</f>
        <v>0.235172125223478</v>
      </c>
    </row>
    <row r="84" customFormat="false" ht="15" hidden="false" customHeight="false" outlineLevel="0" collapsed="false">
      <c r="A84" s="4" t="s">
        <v>225</v>
      </c>
      <c r="B84" s="6" t="n">
        <f aca="false">Precision_Recall_F1!D84</f>
        <v>0.153601694915254</v>
      </c>
      <c r="C84" s="6" t="n">
        <f aca="false">Alert_Volumes!D84</f>
        <v>0.0375894988066826</v>
      </c>
      <c r="D84" s="6" t="n">
        <f aca="false">0.6*B84+0.4*C84</f>
        <v>0.107196816471826</v>
      </c>
    </row>
    <row r="85" customFormat="false" ht="15" hidden="false" customHeight="false" outlineLevel="0" collapsed="false">
      <c r="A85" s="4" t="s">
        <v>227</v>
      </c>
      <c r="B85" s="6" t="n">
        <f aca="false">Precision_Recall_F1!D85</f>
        <v>0.240233236151604</v>
      </c>
      <c r="C85" s="6" t="n">
        <f aca="false">Alert_Volumes!D85</f>
        <v>0.109785202863962</v>
      </c>
      <c r="D85" s="6" t="n">
        <f aca="false">0.6*B85+0.4*C85</f>
        <v>0.188054022836547</v>
      </c>
    </row>
    <row r="86" customFormat="false" ht="15" hidden="false" customHeight="false" outlineLevel="0" collapsed="false">
      <c r="A86" s="4" t="s">
        <v>229</v>
      </c>
      <c r="B86" s="6" t="n">
        <f aca="false">Precision_Recall_F1!D86</f>
        <v>0.193848354792561</v>
      </c>
      <c r="C86" s="6" t="n">
        <f aca="false">Alert_Volumes!D86</f>
        <v>0.0784716516023007</v>
      </c>
      <c r="D86" s="6" t="n">
        <f aca="false">0.6*B86+0.4*C86</f>
        <v>0.147697673516457</v>
      </c>
    </row>
    <row r="87" customFormat="false" ht="15" hidden="false" customHeight="false" outlineLevel="0" collapsed="false">
      <c r="A87" s="4" t="s">
        <v>231</v>
      </c>
      <c r="B87" s="6" t="n">
        <f aca="false">Precision_Recall_F1!D87</f>
        <v>0.630094043887147</v>
      </c>
      <c r="C87" s="6" t="n">
        <f aca="false">Alert_Volumes!D87</f>
        <v>0.382978723404255</v>
      </c>
      <c r="D87" s="6" t="n">
        <f aca="false">0.6*B87+0.4*C87</f>
        <v>0.531247915693991</v>
      </c>
    </row>
    <row r="88" customFormat="false" ht="15" hidden="false" customHeight="false" outlineLevel="0" collapsed="false">
      <c r="A88" s="4" t="s">
        <v>233</v>
      </c>
      <c r="B88" s="6" t="n">
        <f aca="false">Precision_Recall_F1!D88</f>
        <v>0.753434562545192</v>
      </c>
      <c r="C88" s="6" t="n">
        <f aca="false">Alert_Volumes!D88</f>
        <v>0.519685039370079</v>
      </c>
      <c r="D88" s="6" t="n">
        <f aca="false">0.6*B88+0.4*C88</f>
        <v>0.659934753275146</v>
      </c>
    </row>
    <row r="89" customFormat="false" ht="15" hidden="false" customHeight="false" outlineLevel="0" collapsed="false">
      <c r="A89" s="4" t="s">
        <v>235</v>
      </c>
      <c r="B89" s="6" t="n">
        <f aca="false">Precision_Recall_F1!D89</f>
        <v>0.15036547163244</v>
      </c>
      <c r="C89" s="6" t="n">
        <f aca="false">Alert_Volumes!D89</f>
        <v>0.0495648883844117</v>
      </c>
      <c r="D89" s="6" t="n">
        <f aca="false">0.6*B89+0.4*C89</f>
        <v>0.110045238333229</v>
      </c>
    </row>
    <row r="90" customFormat="false" ht="15" hidden="false" customHeight="false" outlineLevel="0" collapsed="false">
      <c r="A90" s="4" t="s">
        <v>237</v>
      </c>
      <c r="B90" s="6" t="n">
        <f aca="false">Precision_Recall_F1!D90</f>
        <v>0.612309310889006</v>
      </c>
      <c r="C90" s="6" t="n">
        <f aca="false">Alert_Volumes!D90</f>
        <v>0.191869918699187</v>
      </c>
      <c r="D90" s="6" t="n">
        <f aca="false">0.6*B90+0.4*C90</f>
        <v>0.444133554013078</v>
      </c>
    </row>
    <row r="91" customFormat="false" ht="15" hidden="false" customHeight="false" outlineLevel="0" collapsed="false">
      <c r="A91" s="4" t="s">
        <v>239</v>
      </c>
      <c r="B91" s="6" t="n">
        <f aca="false">Precision_Recall_F1!D91</f>
        <v>0.618163054695562</v>
      </c>
      <c r="C91" s="6" t="n">
        <f aca="false">Alert_Volumes!D91</f>
        <v>0.197776012708499</v>
      </c>
      <c r="D91" s="6" t="n">
        <f aca="false">0.6*B91+0.4*C91</f>
        <v>0.450008237900737</v>
      </c>
    </row>
    <row r="92" customFormat="false" ht="15" hidden="false" customHeight="false" outlineLevel="0" collapsed="false">
      <c r="A92" s="4" t="s">
        <v>241</v>
      </c>
      <c r="B92" s="6" t="n">
        <f aca="false">Precision_Recall_F1!D92</f>
        <v>0.332842415316642</v>
      </c>
      <c r="C92" s="6" t="n">
        <f aca="false">Alert_Volumes!D92</f>
        <v>0.100289645184649</v>
      </c>
      <c r="D92" s="6" t="n">
        <f aca="false">0.6*B92+0.4*C92</f>
        <v>0.239821307263845</v>
      </c>
    </row>
    <row r="93" customFormat="false" ht="15" hidden="false" customHeight="false" outlineLevel="0" collapsed="false">
      <c r="A93" s="4" t="s">
        <v>243</v>
      </c>
      <c r="B93" s="6" t="n">
        <f aca="false">Precision_Recall_F1!D93</f>
        <v>0.227064220183486</v>
      </c>
      <c r="C93" s="6" t="n">
        <f aca="false">Alert_Volumes!D93</f>
        <v>0.0857726344452008</v>
      </c>
      <c r="D93" s="6" t="n">
        <f aca="false">0.6*B93+0.4*C93</f>
        <v>0.170547585888172</v>
      </c>
    </row>
    <row r="94" customFormat="false" ht="15" hidden="false" customHeight="false" outlineLevel="0" collapsed="false">
      <c r="A94" s="4" t="s">
        <v>245</v>
      </c>
      <c r="B94" s="6" t="n">
        <f aca="false">Precision_Recall_F1!D94</f>
        <v>0.111574556830031</v>
      </c>
      <c r="C94" s="6" t="n">
        <f aca="false">Alert_Volumes!D94</f>
        <v>0.0428893905191874</v>
      </c>
      <c r="D94" s="6" t="n">
        <f aca="false">0.6*B94+0.4*C94</f>
        <v>0.0841004903056937</v>
      </c>
    </row>
    <row r="95" customFormat="false" ht="15" hidden="false" customHeight="false" outlineLevel="0" collapsed="false">
      <c r="A95" s="4" t="s">
        <v>247</v>
      </c>
      <c r="B95" s="6" t="n">
        <f aca="false">Precision_Recall_F1!D95</f>
        <v>0.374615384615385</v>
      </c>
      <c r="C95" s="6" t="n">
        <f aca="false">Alert_Volumes!D95</f>
        <v>0.130809774796358</v>
      </c>
      <c r="D95" s="6" t="n">
        <f aca="false">0.6*B95+0.4*C95</f>
        <v>0.277093140687774</v>
      </c>
    </row>
    <row r="96" customFormat="false" ht="15" hidden="false" customHeight="false" outlineLevel="0" collapsed="false">
      <c r="A96" s="4" t="s">
        <v>249</v>
      </c>
      <c r="B96" s="6" t="n">
        <f aca="false">Precision_Recall_F1!D96</f>
        <v>0.336503291880029</v>
      </c>
      <c r="C96" s="6" t="n">
        <f aca="false">Alert_Volumes!D96</f>
        <v>0.15884476534296</v>
      </c>
      <c r="D96" s="6" t="n">
        <f aca="false">0.6*B96+0.4*C96</f>
        <v>0.265439881265202</v>
      </c>
    </row>
    <row r="97" customFormat="false" ht="15" hidden="false" customHeight="false" outlineLevel="0" collapsed="false">
      <c r="A97" s="4" t="s">
        <v>251</v>
      </c>
      <c r="B97" s="6" t="n">
        <f aca="false">Precision_Recall_F1!D97</f>
        <v>0.41324200913242</v>
      </c>
      <c r="C97" s="6" t="n">
        <f aca="false">Alert_Volumes!D97</f>
        <v>0.171806167400881</v>
      </c>
      <c r="D97" s="6" t="n">
        <f aca="false">0.6*B97+0.4*C97</f>
        <v>0.316667672439805</v>
      </c>
    </row>
    <row r="98" customFormat="false" ht="15" hidden="false" customHeight="false" outlineLevel="0" collapsed="false">
      <c r="A98" s="4" t="s">
        <v>253</v>
      </c>
      <c r="B98" s="6" t="n">
        <f aca="false">Precision_Recall_F1!D98</f>
        <v>0.63612147043154</v>
      </c>
      <c r="C98" s="6" t="n">
        <f aca="false">Alert_Volumes!D98</f>
        <v>0.356576862123613</v>
      </c>
      <c r="D98" s="6" t="n">
        <f aca="false">0.6*B98+0.4*C98</f>
        <v>0.524303627108369</v>
      </c>
    </row>
    <row r="99" customFormat="false" ht="15" hidden="false" customHeight="false" outlineLevel="0" collapsed="false">
      <c r="A99" s="4" t="s">
        <v>255</v>
      </c>
      <c r="B99" s="6" t="n">
        <f aca="false">Precision_Recall_F1!D99</f>
        <v>0.275717284814556</v>
      </c>
      <c r="C99" s="6" t="n">
        <f aca="false">Alert_Volumes!D99</f>
        <v>0.0773109243697479</v>
      </c>
      <c r="D99" s="6" t="n">
        <f aca="false">0.6*B99+0.4*C99</f>
        <v>0.196354740636633</v>
      </c>
    </row>
    <row r="100" customFormat="false" ht="15" hidden="false" customHeight="false" outlineLevel="0" collapsed="false">
      <c r="A100" s="4" t="s">
        <v>257</v>
      </c>
      <c r="B100" s="6" t="n">
        <f aca="false">Precision_Recall_F1!D100</f>
        <v>0.167080231596361</v>
      </c>
      <c r="C100" s="6" t="n">
        <f aca="false">Alert_Volumes!D100</f>
        <v>0.0564053537284895</v>
      </c>
      <c r="D100" s="6" t="n">
        <f aca="false">0.6*B100+0.4*C100</f>
        <v>0.122810280449212</v>
      </c>
    </row>
    <row r="101" customFormat="false" ht="15" hidden="false" customHeight="false" outlineLevel="0" collapsed="false">
      <c r="A101" s="4" t="s">
        <v>259</v>
      </c>
      <c r="B101" s="6" t="n">
        <f aca="false">Precision_Recall_F1!D101</f>
        <v>0.7152466367713</v>
      </c>
      <c r="C101" s="6" t="n">
        <f aca="false">Alert_Volumes!D101</f>
        <v>0.45045045045045</v>
      </c>
      <c r="D101" s="6" t="n">
        <f aca="false">0.6*B101+0.4*C101</f>
        <v>0.60932816224296</v>
      </c>
    </row>
    <row r="102" customFormat="false" ht="15" hidden="false" customHeight="false" outlineLevel="0" collapsed="false">
      <c r="A102" s="4" t="s">
        <v>261</v>
      </c>
      <c r="B102" s="6" t="n">
        <f aca="false">Precision_Recall_F1!D102</f>
        <v>0.0686475409836066</v>
      </c>
      <c r="C102" s="6" t="n">
        <f aca="false">Alert_Volumes!D102</f>
        <v>0.0198604401502952</v>
      </c>
      <c r="D102" s="6" t="n">
        <f aca="false">0.6*B102+0.4*C102</f>
        <v>0.049132700650282</v>
      </c>
    </row>
    <row r="103" customFormat="false" ht="15" hidden="false" customHeight="false" outlineLevel="0" collapsed="false">
      <c r="A103" s="4" t="s">
        <v>263</v>
      </c>
      <c r="B103" s="6" t="n">
        <f aca="false">Precision_Recall_F1!D103</f>
        <v>0.589989350372737</v>
      </c>
      <c r="C103" s="6" t="n">
        <f aca="false">Alert_Volumes!D103</f>
        <v>0.266553480475382</v>
      </c>
      <c r="D103" s="6" t="n">
        <f aca="false">0.6*B103+0.4*C103</f>
        <v>0.460615002413795</v>
      </c>
    </row>
    <row r="104" customFormat="false" ht="15" hidden="false" customHeight="false" outlineLevel="0" collapsed="false">
      <c r="A104" s="4" t="s">
        <v>265</v>
      </c>
      <c r="B104" s="6" t="n">
        <f aca="false">Precision_Recall_F1!D104</f>
        <v>0.447552447552448</v>
      </c>
      <c r="C104" s="6" t="n">
        <f aca="false">Alert_Volumes!D104</f>
        <v>0.179292929292929</v>
      </c>
      <c r="D104" s="6" t="n">
        <f aca="false">0.6*B104+0.4*C104</f>
        <v>0.34024864024864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2026-06-23T04:18:50Z</dcterms:created>
  <dc:creator>openpyxl</dc:creator>
  <dc:description/>
  <dc:language>en-US</dc:language>
  <cp:lastModifiedBy/>
  <dcterms:modified xsi:type="dcterms:W3CDTF">2026-06-23T04:18:50Z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
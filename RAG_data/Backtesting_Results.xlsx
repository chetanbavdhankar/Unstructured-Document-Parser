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view" sheetId="1" state="visible" r:id="rId3"/>
    <sheet name="ATL_Testing" sheetId="2" state="visible" r:id="rId4"/>
    <sheet name="BTL_Testing" sheetId="3" state="visible" r:id="rId5"/>
    <sheet name="Quarterly_Trend" sheetId="4" state="visible" r:id="rId6"/>
    <sheet name="Tuning_Recommendations" sheetId="5" state="visible" r:id="rId7"/>
    <sheet name="Sampling_Methodology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<sst xmlns="http://schemas.openxmlformats.org/spreadsheetml/2006/main" count="2395" uniqueCount="325">
  <si>
    <t xml:space="preserve">Backtesting Results</t>
  </si>
  <si>
    <t xml:space="preserve">Quarterly backtesting of AML scenario models | ATL/BTL sampling | tuning outcomes</t>
  </si>
  <si>
    <t xml:space="preserve">Model</t>
  </si>
  <si>
    <t xml:space="preserve">Code</t>
  </si>
  <si>
    <t xml:space="preserve">Typology</t>
  </si>
  <si>
    <t xml:space="preserve">Family</t>
  </si>
  <si>
    <t xml:space="preserve">Booking Entity</t>
  </si>
  <si>
    <t xml:space="preserve">Segment</t>
  </si>
  <si>
    <t xml:space="preserve">Owner</t>
  </si>
  <si>
    <t xml:space="preserve">Lifecycle Status</t>
  </si>
  <si>
    <t xml:space="preserve">Model 1</t>
  </si>
  <si>
    <t xml:space="preserve">TM-STR-001</t>
  </si>
  <si>
    <t xml:space="preserve">Structuring</t>
  </si>
  <si>
    <t xml:space="preserve">Structuring Detection Family</t>
  </si>
  <si>
    <t xml:space="preserve">Entity A</t>
  </si>
  <si>
    <t xml:space="preserve">Retail</t>
  </si>
  <si>
    <t xml:space="preserve">A. Kowalski</t>
  </si>
  <si>
    <t xml:space="preserve">Production</t>
  </si>
  <si>
    <t xml:space="preserve">Model 2</t>
  </si>
  <si>
    <t xml:space="preserve">TM-RMF-002</t>
  </si>
  <si>
    <t xml:space="preserve">Rapid Movement of Funds</t>
  </si>
  <si>
    <t xml:space="preserve">Rapid-Movement Family</t>
  </si>
  <si>
    <t xml:space="preserve">Entity B</t>
  </si>
  <si>
    <t xml:space="preserve">SME</t>
  </si>
  <si>
    <t xml:space="preserve">B. Nowak</t>
  </si>
  <si>
    <t xml:space="preserve">Model 3</t>
  </si>
  <si>
    <t xml:space="preserve">TM-GEO-003</t>
  </si>
  <si>
    <t xml:space="preserve">High-Risk Jurisdiction</t>
  </si>
  <si>
    <t xml:space="preserve">Geographic-Risk Family</t>
  </si>
  <si>
    <t xml:space="preserve">Entity C</t>
  </si>
  <si>
    <t xml:space="preserve">Corporate</t>
  </si>
  <si>
    <t xml:space="preserve">C. Lewandowska</t>
  </si>
  <si>
    <t xml:space="preserve">Model 4</t>
  </si>
  <si>
    <t xml:space="preserve">TM-CASH-004</t>
  </si>
  <si>
    <t xml:space="preserve">Cash-Intensive Business</t>
  </si>
  <si>
    <t xml:space="preserve">Cash-Anomaly Family</t>
  </si>
  <si>
    <t xml:space="preserve">Entity D</t>
  </si>
  <si>
    <t xml:space="preserve">Private Banking</t>
  </si>
  <si>
    <t xml:space="preserve">D. Wójcik</t>
  </si>
  <si>
    <t xml:space="preserve">Tuning</t>
  </si>
  <si>
    <t xml:space="preserve">Model 5</t>
  </si>
  <si>
    <t xml:space="preserve">TM-TBML-005</t>
  </si>
  <si>
    <t xml:space="preserve">Trade-Based ML</t>
  </si>
  <si>
    <t xml:space="preserve">Trade-Based Family</t>
  </si>
  <si>
    <t xml:space="preserve">Entity E</t>
  </si>
  <si>
    <t xml:space="preserve">Correspondent</t>
  </si>
  <si>
    <t xml:space="preserve">E. Kamiński</t>
  </si>
  <si>
    <t xml:space="preserve">Validation</t>
  </si>
  <si>
    <t xml:space="preserve">Model 6</t>
  </si>
  <si>
    <t xml:space="preserve">TM-BEHAV-006</t>
  </si>
  <si>
    <t xml:space="preserve">Dormant Reactivation</t>
  </si>
  <si>
    <t xml:space="preserve">Behavioural-Anomaly Family</t>
  </si>
  <si>
    <t xml:space="preserve">Entity F</t>
  </si>
  <si>
    <t xml:space="preserve">F. Zielińska</t>
  </si>
  <si>
    <t xml:space="preserve">Decommissioning</t>
  </si>
  <si>
    <t xml:space="preserve">Model 7</t>
  </si>
  <si>
    <t xml:space="preserve">TM-CRYPTO-007</t>
  </si>
  <si>
    <t xml:space="preserve">Round-Amount Transactions</t>
  </si>
  <si>
    <t xml:space="preserve">Virtual-Asset Family</t>
  </si>
  <si>
    <t xml:space="preserve">Entity G</t>
  </si>
  <si>
    <t xml:space="preserve">G. Szymański</t>
  </si>
  <si>
    <t xml:space="preserve">Model 8</t>
  </si>
  <si>
    <t xml:space="preserve">TM-NETWORK-008</t>
  </si>
  <si>
    <t xml:space="preserve">Velocity Anomaly</t>
  </si>
  <si>
    <t xml:space="preserve">Network-Linkage Family</t>
  </si>
  <si>
    <t xml:space="preserve">Entity H</t>
  </si>
  <si>
    <t xml:space="preserve">H. Woźniak</t>
  </si>
  <si>
    <t xml:space="preserve">Model 9</t>
  </si>
  <si>
    <t xml:space="preserve">TM-STR-009</t>
  </si>
  <si>
    <t xml:space="preserve">Threshold Avoidance</t>
  </si>
  <si>
    <t xml:space="preserve">Entity I</t>
  </si>
  <si>
    <t xml:space="preserve">I. Dąbrowski</t>
  </si>
  <si>
    <t xml:space="preserve">Model 10</t>
  </si>
  <si>
    <t xml:space="preserve">TM-RMF-010</t>
  </si>
  <si>
    <t xml:space="preserve">Funnel Account</t>
  </si>
  <si>
    <t xml:space="preserve">Entity J</t>
  </si>
  <si>
    <t xml:space="preserve">J. Kozłowska</t>
  </si>
  <si>
    <t xml:space="preserve">Model 11</t>
  </si>
  <si>
    <t xml:space="preserve">TM-GEO-011</t>
  </si>
  <si>
    <t xml:space="preserve">Mule Account Behaviour</t>
  </si>
  <si>
    <t xml:space="preserve">Model 12</t>
  </si>
  <si>
    <t xml:space="preserve">TM-CASH-012</t>
  </si>
  <si>
    <t xml:space="preserve">PEP Activity</t>
  </si>
  <si>
    <t xml:space="preserve">Model 13</t>
  </si>
  <si>
    <t xml:space="preserve">TM-TBML-013</t>
  </si>
  <si>
    <t xml:space="preserve">Sanctions Proximity</t>
  </si>
  <si>
    <t xml:space="preserve">Model 14</t>
  </si>
  <si>
    <t xml:space="preserve">TM-BEHAV-014</t>
  </si>
  <si>
    <t xml:space="preserve">Crypto On/Off-Ramp</t>
  </si>
  <si>
    <t xml:space="preserve">Model 15</t>
  </si>
  <si>
    <t xml:space="preserve">TM-CRYPTO-015</t>
  </si>
  <si>
    <t xml:space="preserve">Nested Correspondent</t>
  </si>
  <si>
    <t xml:space="preserve">Model 16</t>
  </si>
  <si>
    <t xml:space="preserve">TM-NETWORK-016</t>
  </si>
  <si>
    <t xml:space="preserve">Shell Company Flow</t>
  </si>
  <si>
    <t xml:space="preserve">Model 17</t>
  </si>
  <si>
    <t xml:space="preserve">TM-STR-017</t>
  </si>
  <si>
    <t xml:space="preserve">Smurfing Network</t>
  </si>
  <si>
    <t xml:space="preserve">Model 18</t>
  </si>
  <si>
    <t xml:space="preserve">TM-RMF-018</t>
  </si>
  <si>
    <t xml:space="preserve">Wire Stripping</t>
  </si>
  <si>
    <t xml:space="preserve">Model 19</t>
  </si>
  <si>
    <t xml:space="preserve">TM-GEO-019</t>
  </si>
  <si>
    <t xml:space="preserve">ATM Cycling</t>
  </si>
  <si>
    <t xml:space="preserve">Model 20</t>
  </si>
  <si>
    <t xml:space="preserve">TM-CASH-020</t>
  </si>
  <si>
    <t xml:space="preserve">Layering via Securities</t>
  </si>
  <si>
    <t xml:space="preserve">Model 21</t>
  </si>
  <si>
    <t xml:space="preserve">TM-TBML-021</t>
  </si>
  <si>
    <t xml:space="preserve">Model 22</t>
  </si>
  <si>
    <t xml:space="preserve">TM-BEHAV-022</t>
  </si>
  <si>
    <t xml:space="preserve">Model 23</t>
  </si>
  <si>
    <t xml:space="preserve">TM-CRYPTO-023</t>
  </si>
  <si>
    <t xml:space="preserve">Model 24</t>
  </si>
  <si>
    <t xml:space="preserve">TM-NETWORK-024</t>
  </si>
  <si>
    <t xml:space="preserve">Model 25</t>
  </si>
  <si>
    <t xml:space="preserve">TM-STR-025</t>
  </si>
  <si>
    <t xml:space="preserve">Model 26</t>
  </si>
  <si>
    <t xml:space="preserve">TM-RMF-026</t>
  </si>
  <si>
    <t xml:space="preserve">Model 27</t>
  </si>
  <si>
    <t xml:space="preserve">TM-GEO-027</t>
  </si>
  <si>
    <t xml:space="preserve">Model 28</t>
  </si>
  <si>
    <t xml:space="preserve">TM-CASH-028</t>
  </si>
  <si>
    <t xml:space="preserve">Model 29</t>
  </si>
  <si>
    <t xml:space="preserve">TM-TBML-029</t>
  </si>
  <si>
    <t xml:space="preserve">Model 30</t>
  </si>
  <si>
    <t xml:space="preserve">TM-BEHAV-030</t>
  </si>
  <si>
    <t xml:space="preserve">Model 31</t>
  </si>
  <si>
    <t xml:space="preserve">TM-CRYPTO-031</t>
  </si>
  <si>
    <t xml:space="preserve">Model 32</t>
  </si>
  <si>
    <t xml:space="preserve">TM-NETWORK-032</t>
  </si>
  <si>
    <t xml:space="preserve">Model 33</t>
  </si>
  <si>
    <t xml:space="preserve">TM-STR-033</t>
  </si>
  <si>
    <t xml:space="preserve">Model 34</t>
  </si>
  <si>
    <t xml:space="preserve">TM-RMF-034</t>
  </si>
  <si>
    <t xml:space="preserve">Model 35</t>
  </si>
  <si>
    <t xml:space="preserve">TM-GEO-035</t>
  </si>
  <si>
    <t xml:space="preserve">Model 36</t>
  </si>
  <si>
    <t xml:space="preserve">TM-CASH-036</t>
  </si>
  <si>
    <t xml:space="preserve">Model 37</t>
  </si>
  <si>
    <t xml:space="preserve">TM-TBML-037</t>
  </si>
  <si>
    <t xml:space="preserve">Model 38</t>
  </si>
  <si>
    <t xml:space="preserve">TM-BEHAV-038</t>
  </si>
  <si>
    <t xml:space="preserve">Model 39</t>
  </si>
  <si>
    <t xml:space="preserve">TM-CRYPTO-039</t>
  </si>
  <si>
    <t xml:space="preserve">Model 40</t>
  </si>
  <si>
    <t xml:space="preserve">TM-NETWORK-040</t>
  </si>
  <si>
    <t xml:space="preserve">Model 41</t>
  </si>
  <si>
    <t xml:space="preserve">TM-STR-041</t>
  </si>
  <si>
    <t xml:space="preserve">Model 42</t>
  </si>
  <si>
    <t xml:space="preserve">TM-RMF-042</t>
  </si>
  <si>
    <t xml:space="preserve">Model 43</t>
  </si>
  <si>
    <t xml:space="preserve">TM-GEO-043</t>
  </si>
  <si>
    <t xml:space="preserve">Model 44</t>
  </si>
  <si>
    <t xml:space="preserve">TM-CASH-044</t>
  </si>
  <si>
    <t xml:space="preserve">Model 45</t>
  </si>
  <si>
    <t xml:space="preserve">TM-TBML-045</t>
  </si>
  <si>
    <t xml:space="preserve">Model 46</t>
  </si>
  <si>
    <t xml:space="preserve">TM-BEHAV-046</t>
  </si>
  <si>
    <t xml:space="preserve">Model 47</t>
  </si>
  <si>
    <t xml:space="preserve">TM-CRYPTO-047</t>
  </si>
  <si>
    <t xml:space="preserve">Model 48</t>
  </si>
  <si>
    <t xml:space="preserve">TM-NETWORK-048</t>
  </si>
  <si>
    <t xml:space="preserve">Model 49</t>
  </si>
  <si>
    <t xml:space="preserve">TM-STR-049</t>
  </si>
  <si>
    <t xml:space="preserve">Model 50</t>
  </si>
  <si>
    <t xml:space="preserve">TM-RMF-050</t>
  </si>
  <si>
    <t xml:space="preserve">Model 51</t>
  </si>
  <si>
    <t xml:space="preserve">TM-GEO-051</t>
  </si>
  <si>
    <t xml:space="preserve">Model 52</t>
  </si>
  <si>
    <t xml:space="preserve">TM-CASH-052</t>
  </si>
  <si>
    <t xml:space="preserve">Model 53</t>
  </si>
  <si>
    <t xml:space="preserve">TM-TBML-053</t>
  </si>
  <si>
    <t xml:space="preserve">Model 54</t>
  </si>
  <si>
    <t xml:space="preserve">TM-BEHAV-054</t>
  </si>
  <si>
    <t xml:space="preserve">Model 55</t>
  </si>
  <si>
    <t xml:space="preserve">TM-CRYPTO-055</t>
  </si>
  <si>
    <t xml:space="preserve">Model 56</t>
  </si>
  <si>
    <t xml:space="preserve">TM-NETWORK-056</t>
  </si>
  <si>
    <t xml:space="preserve">Model 57</t>
  </si>
  <si>
    <t xml:space="preserve">TM-STR-057</t>
  </si>
  <si>
    <t xml:space="preserve">Model 58</t>
  </si>
  <si>
    <t xml:space="preserve">TM-RMF-058</t>
  </si>
  <si>
    <t xml:space="preserve">Model 59</t>
  </si>
  <si>
    <t xml:space="preserve">TM-GEO-059</t>
  </si>
  <si>
    <t xml:space="preserve">Model 60</t>
  </si>
  <si>
    <t xml:space="preserve">TM-CASH-060</t>
  </si>
  <si>
    <t xml:space="preserve">Model 61</t>
  </si>
  <si>
    <t xml:space="preserve">TM-TBML-061</t>
  </si>
  <si>
    <t xml:space="preserve">Model 62</t>
  </si>
  <si>
    <t xml:space="preserve">TM-BEHAV-062</t>
  </si>
  <si>
    <t xml:space="preserve">Model 63</t>
  </si>
  <si>
    <t xml:space="preserve">TM-CRYPTO-063</t>
  </si>
  <si>
    <t xml:space="preserve">Model 64</t>
  </si>
  <si>
    <t xml:space="preserve">TM-NETWORK-064</t>
  </si>
  <si>
    <t xml:space="preserve">Model 65</t>
  </si>
  <si>
    <t xml:space="preserve">TM-STR-065</t>
  </si>
  <si>
    <t xml:space="preserve">Model 66</t>
  </si>
  <si>
    <t xml:space="preserve">TM-RMF-066</t>
  </si>
  <si>
    <t xml:space="preserve">Model 67</t>
  </si>
  <si>
    <t xml:space="preserve">TM-GEO-067</t>
  </si>
  <si>
    <t xml:space="preserve">Model 68</t>
  </si>
  <si>
    <t xml:space="preserve">TM-CASH-068</t>
  </si>
  <si>
    <t xml:space="preserve">Model 69</t>
  </si>
  <si>
    <t xml:space="preserve">TM-TBML-069</t>
  </si>
  <si>
    <t xml:space="preserve">Model 70</t>
  </si>
  <si>
    <t xml:space="preserve">TM-BEHAV-070</t>
  </si>
  <si>
    <t xml:space="preserve">Model 71</t>
  </si>
  <si>
    <t xml:space="preserve">TM-CRYPTO-071</t>
  </si>
  <si>
    <t xml:space="preserve">Model 72</t>
  </si>
  <si>
    <t xml:space="preserve">TM-NETWORK-072</t>
  </si>
  <si>
    <t xml:space="preserve">Model 73</t>
  </si>
  <si>
    <t xml:space="preserve">TM-STR-073</t>
  </si>
  <si>
    <t xml:space="preserve">Model 74</t>
  </si>
  <si>
    <t xml:space="preserve">TM-RMF-074</t>
  </si>
  <si>
    <t xml:space="preserve">Model 75</t>
  </si>
  <si>
    <t xml:space="preserve">TM-GEO-075</t>
  </si>
  <si>
    <t xml:space="preserve">Model 76</t>
  </si>
  <si>
    <t xml:space="preserve">TM-CASH-076</t>
  </si>
  <si>
    <t xml:space="preserve">Model 77</t>
  </si>
  <si>
    <t xml:space="preserve">TM-TBML-077</t>
  </si>
  <si>
    <t xml:space="preserve">Model 78</t>
  </si>
  <si>
    <t xml:space="preserve">TM-BEHAV-078</t>
  </si>
  <si>
    <t xml:space="preserve">Model 79</t>
  </si>
  <si>
    <t xml:space="preserve">TM-CRYPTO-079</t>
  </si>
  <si>
    <t xml:space="preserve">Model 80</t>
  </si>
  <si>
    <t xml:space="preserve">TM-NETWORK-080</t>
  </si>
  <si>
    <t xml:space="preserve">Model 81</t>
  </si>
  <si>
    <t xml:space="preserve">TM-STR-081</t>
  </si>
  <si>
    <t xml:space="preserve">Model 82</t>
  </si>
  <si>
    <t xml:space="preserve">TM-RMF-082</t>
  </si>
  <si>
    <t xml:space="preserve">Model 83</t>
  </si>
  <si>
    <t xml:space="preserve">TM-GEO-083</t>
  </si>
  <si>
    <t xml:space="preserve">Model 84</t>
  </si>
  <si>
    <t xml:space="preserve">TM-CASH-084</t>
  </si>
  <si>
    <t xml:space="preserve">Model 85</t>
  </si>
  <si>
    <t xml:space="preserve">TM-TBML-085</t>
  </si>
  <si>
    <t xml:space="preserve">Model 86</t>
  </si>
  <si>
    <t xml:space="preserve">TM-BEHAV-086</t>
  </si>
  <si>
    <t xml:space="preserve">Model 87</t>
  </si>
  <si>
    <t xml:space="preserve">TM-CRYPTO-087</t>
  </si>
  <si>
    <t xml:space="preserve">Model 88</t>
  </si>
  <si>
    <t xml:space="preserve">TM-NETWORK-088</t>
  </si>
  <si>
    <t xml:space="preserve">Model 89</t>
  </si>
  <si>
    <t xml:space="preserve">TM-STR-089</t>
  </si>
  <si>
    <t xml:space="preserve">Model 90</t>
  </si>
  <si>
    <t xml:space="preserve">TM-RMF-090</t>
  </si>
  <si>
    <t xml:space="preserve">Model 91</t>
  </si>
  <si>
    <t xml:space="preserve">TM-GEO-091</t>
  </si>
  <si>
    <t xml:space="preserve">Model 92</t>
  </si>
  <si>
    <t xml:space="preserve">TM-CASH-092</t>
  </si>
  <si>
    <t xml:space="preserve">Model 93</t>
  </si>
  <si>
    <t xml:space="preserve">TM-TBML-093</t>
  </si>
  <si>
    <t xml:space="preserve">Model 94</t>
  </si>
  <si>
    <t xml:space="preserve">TM-BEHAV-094</t>
  </si>
  <si>
    <t xml:space="preserve">Model 95</t>
  </si>
  <si>
    <t xml:space="preserve">TM-CRYPTO-095</t>
  </si>
  <si>
    <t xml:space="preserve">Model 96</t>
  </si>
  <si>
    <t xml:space="preserve">TM-NETWORK-096</t>
  </si>
  <si>
    <t xml:space="preserve">Model 97</t>
  </si>
  <si>
    <t xml:space="preserve">TM-STR-097</t>
  </si>
  <si>
    <t xml:space="preserve">Model 98</t>
  </si>
  <si>
    <t xml:space="preserve">TM-RMF-098</t>
  </si>
  <si>
    <t xml:space="preserve">Model 99</t>
  </si>
  <si>
    <t xml:space="preserve">TM-GEO-099</t>
  </si>
  <si>
    <t xml:space="preserve">Model 100</t>
  </si>
  <si>
    <t xml:space="preserve">TM-CASH-100</t>
  </si>
  <si>
    <t xml:space="preserve">Above-The-Line (ATL) Testing</t>
  </si>
  <si>
    <t xml:space="preserve">Sampling of alerts that fired. Effective Rate = Confirmed Productive / Sampled.</t>
  </si>
  <si>
    <t xml:space="preserve">Alerts Sampled</t>
  </si>
  <si>
    <t xml:space="preserve">Confirmed Productive</t>
  </si>
  <si>
    <t xml:space="preserve">False Positive</t>
  </si>
  <si>
    <t xml:space="preserve">Effective Rate</t>
  </si>
  <si>
    <t xml:space="preserve">ATL Outcome</t>
  </si>
  <si>
    <t xml:space="preserve">Below-The-Line (BTL) Testing</t>
  </si>
  <si>
    <t xml:space="preserve">Sampling below threshold to detect missed SARs. Leakage = Missed / Sampled.</t>
  </si>
  <si>
    <t xml:space="preserve">Below-Line Sampled</t>
  </si>
  <si>
    <t xml:space="preserve">Missed Alerts (Should-Fire)</t>
  </si>
  <si>
    <t xml:space="preserve">Confirmed Clean</t>
  </si>
  <si>
    <t xml:space="preserve">Leakage Rate</t>
  </si>
  <si>
    <t xml:space="preserve">BTL Outcome</t>
  </si>
  <si>
    <t xml:space="preserve">Quarterly Performance Trend</t>
  </si>
  <si>
    <t xml:space="preserve">Long format: one row per model per quarter (400 rows).</t>
  </si>
  <si>
    <t xml:space="preserve">Quarter</t>
  </si>
  <si>
    <t xml:space="preserve">Alerts</t>
  </si>
  <si>
    <t xml:space="preserve">SARs</t>
  </si>
  <si>
    <t xml:space="preserve">Conversion Rate</t>
  </si>
  <si>
    <t xml:space="preserve">QoQ Alert Delta</t>
  </si>
  <si>
    <t xml:space="preserve">Q1 2025</t>
  </si>
  <si>
    <t xml:space="preserve">n/a</t>
  </si>
  <si>
    <t xml:space="preserve">Q2 2025</t>
  </si>
  <si>
    <t xml:space="preserve">Q3 2025</t>
  </si>
  <si>
    <t xml:space="preserve">Q4 2025</t>
  </si>
  <si>
    <t xml:space="preserve">Tuning Recommendations</t>
  </si>
  <si>
    <t xml:space="preserve">Backtesting-driven recommendations. Cross-references CR documents where raised.</t>
  </si>
  <si>
    <t xml:space="preserve">Recommendation</t>
  </si>
  <si>
    <t xml:space="preserve">Direction</t>
  </si>
  <si>
    <t xml:space="preserve">Linked Change Request</t>
  </si>
  <si>
    <t xml:space="preserve">Priority</t>
  </si>
  <si>
    <t xml:space="preserve">Raise score threshold</t>
  </si>
  <si>
    <t xml:space="preserve">Reduce FP</t>
  </si>
  <si>
    <t xml:space="preserve">CR-003</t>
  </si>
  <si>
    <t xml:space="preserve">Medium</t>
  </si>
  <si>
    <t xml:space="preserve">Lower score threshold</t>
  </si>
  <si>
    <t xml:space="preserve">Reduce leakage</t>
  </si>
  <si>
    <t xml:space="preserve">High</t>
  </si>
  <si>
    <t xml:space="preserve">Extend lookback window</t>
  </si>
  <si>
    <t xml:space="preserve">Shorten lookback window</t>
  </si>
  <si>
    <t xml:space="preserve">Maintain</t>
  </si>
  <si>
    <t xml:space="preserve">Tighten min-amount floor</t>
  </si>
  <si>
    <t xml:space="preserve">No change - retain</t>
  </si>
  <si>
    <t xml:space="preserve">Low</t>
  </si>
  <si>
    <t xml:space="preserve">Re-segment population</t>
  </si>
  <si>
    <t xml:space="preserve">CR-001</t>
  </si>
  <si>
    <t xml:space="preserve">Add geography filter</t>
  </si>
  <si>
    <t xml:space="preserve">CR-002</t>
  </si>
  <si>
    <t xml:space="preserve">Sampling Methodology by Family</t>
  </si>
  <si>
    <t xml:space="preserve">Reference notes describing the backtesting approach per scenario family.</t>
  </si>
  <si>
    <t xml:space="preserve">ATL Sample Basis</t>
  </si>
  <si>
    <t xml:space="preserve">BTL Sample Basis</t>
  </si>
  <si>
    <t xml:space="preserve">Confidence Level</t>
  </si>
  <si>
    <t xml:space="preserve">Stratified random, 95% CI</t>
  </si>
  <si>
    <t xml:space="preserve">Boundary band ±15% of threshold</t>
  </si>
  <si>
    <t xml:space="preserve">99%</t>
  </si>
  <si>
    <t xml:space="preserve">97.5%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</si>
</sst>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4" min="2" style="0" width="12"/>
    <col collapsed="false" customWidth="true" hidden="false" outlineLevel="0" max="5" min="5" style="0" width="18"/>
    <col collapsed="false" customWidth="true" hidden="false" outlineLevel="0" max="7" min="6" style="0" width="12"/>
    <col collapsed="false" customWidth="true" hidden="false" outlineLevel="0" max="8" min="8" style="0" width="2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customFormat="false" ht="15" hidden="false" customHeight="false" outlineLevel="0" collapsed="false">
      <c r="A5" s="4" t="s">
        <v>10</v>
      </c>
      <c r="B5" s="5" t="s">
        <v>11</v>
      </c>
      <c r="C5" s="5" t="s">
        <v>12</v>
      </c>
      <c r="D5" s="5" t="s">
        <v>13</v>
      </c>
      <c r="E5" s="5" t="s">
        <v>14</v>
      </c>
      <c r="F5" s="5" t="s">
        <v>15</v>
      </c>
      <c r="G5" s="5" t="s">
        <v>16</v>
      </c>
      <c r="H5" s="5" t="s">
        <v>17</v>
      </c>
    </row>
    <row r="6" customFormat="false" ht="15" hidden="false" customHeight="false" outlineLevel="0" collapsed="false">
      <c r="A6" s="4" t="s">
        <v>18</v>
      </c>
      <c r="B6" s="5" t="s">
        <v>19</v>
      </c>
      <c r="C6" s="5" t="s">
        <v>20</v>
      </c>
      <c r="D6" s="5" t="s">
        <v>21</v>
      </c>
      <c r="E6" s="5" t="s">
        <v>22</v>
      </c>
      <c r="F6" s="5" t="s">
        <v>23</v>
      </c>
      <c r="G6" s="5" t="s">
        <v>24</v>
      </c>
      <c r="H6" s="5" t="s">
        <v>17</v>
      </c>
    </row>
    <row r="7" customFormat="false" ht="15" hidden="false" customHeight="false" outlineLevel="0" collapsed="false">
      <c r="A7" s="4" t="s">
        <v>25</v>
      </c>
      <c r="B7" s="5" t="s">
        <v>26</v>
      </c>
      <c r="C7" s="5" t="s">
        <v>27</v>
      </c>
      <c r="D7" s="5" t="s">
        <v>28</v>
      </c>
      <c r="E7" s="5" t="s">
        <v>29</v>
      </c>
      <c r="F7" s="5" t="s">
        <v>30</v>
      </c>
      <c r="G7" s="5" t="s">
        <v>31</v>
      </c>
      <c r="H7" s="5" t="s">
        <v>17</v>
      </c>
    </row>
    <row r="8" customFormat="false" ht="15" hidden="false" customHeight="false" outlineLevel="0" collapsed="false">
      <c r="A8" s="4" t="s">
        <v>32</v>
      </c>
      <c r="B8" s="5" t="s">
        <v>33</v>
      </c>
      <c r="C8" s="5" t="s">
        <v>34</v>
      </c>
      <c r="D8" s="5" t="s">
        <v>35</v>
      </c>
      <c r="E8" s="5" t="s">
        <v>36</v>
      </c>
      <c r="F8" s="5" t="s">
        <v>37</v>
      </c>
      <c r="G8" s="5" t="s">
        <v>38</v>
      </c>
      <c r="H8" s="5" t="s">
        <v>39</v>
      </c>
    </row>
    <row r="9" customFormat="false" ht="15" hidden="false" customHeight="false" outlineLevel="0" collapsed="false">
      <c r="A9" s="4" t="s">
        <v>40</v>
      </c>
      <c r="B9" s="5" t="s">
        <v>41</v>
      </c>
      <c r="C9" s="5" t="s">
        <v>42</v>
      </c>
      <c r="D9" s="5" t="s">
        <v>43</v>
      </c>
      <c r="E9" s="5" t="s">
        <v>44</v>
      </c>
      <c r="F9" s="5" t="s">
        <v>45</v>
      </c>
      <c r="G9" s="5" t="s">
        <v>46</v>
      </c>
      <c r="H9" s="5" t="s">
        <v>47</v>
      </c>
    </row>
    <row r="10" customFormat="false" ht="15" hidden="false" customHeight="false" outlineLevel="0" collapsed="false">
      <c r="A10" s="4" t="s">
        <v>48</v>
      </c>
      <c r="B10" s="5" t="s">
        <v>49</v>
      </c>
      <c r="C10" s="5" t="s">
        <v>50</v>
      </c>
      <c r="D10" s="5" t="s">
        <v>51</v>
      </c>
      <c r="E10" s="5" t="s">
        <v>52</v>
      </c>
      <c r="F10" s="5" t="s">
        <v>15</v>
      </c>
      <c r="G10" s="5" t="s">
        <v>53</v>
      </c>
      <c r="H10" s="5" t="s">
        <v>54</v>
      </c>
    </row>
    <row r="11" customFormat="false" ht="15" hidden="false" customHeight="false" outlineLevel="0" collapsed="false">
      <c r="A11" s="4" t="s">
        <v>55</v>
      </c>
      <c r="B11" s="5" t="s">
        <v>56</v>
      </c>
      <c r="C11" s="5" t="s">
        <v>57</v>
      </c>
      <c r="D11" s="5" t="s">
        <v>58</v>
      </c>
      <c r="E11" s="5" t="s">
        <v>59</v>
      </c>
      <c r="F11" s="5" t="s">
        <v>23</v>
      </c>
      <c r="G11" s="5" t="s">
        <v>60</v>
      </c>
      <c r="H11" s="5" t="s">
        <v>17</v>
      </c>
    </row>
    <row r="12" customFormat="false" ht="15" hidden="false" customHeight="false" outlineLevel="0" collapsed="false">
      <c r="A12" s="4" t="s">
        <v>61</v>
      </c>
      <c r="B12" s="5" t="s">
        <v>62</v>
      </c>
      <c r="C12" s="5" t="s">
        <v>63</v>
      </c>
      <c r="D12" s="5" t="s">
        <v>64</v>
      </c>
      <c r="E12" s="5" t="s">
        <v>65</v>
      </c>
      <c r="F12" s="5" t="s">
        <v>30</v>
      </c>
      <c r="G12" s="5" t="s">
        <v>66</v>
      </c>
      <c r="H12" s="5" t="s">
        <v>17</v>
      </c>
    </row>
    <row r="13" customFormat="false" ht="15" hidden="false" customHeight="false" outlineLevel="0" collapsed="false">
      <c r="A13" s="4" t="s">
        <v>67</v>
      </c>
      <c r="B13" s="5" t="s">
        <v>68</v>
      </c>
      <c r="C13" s="5" t="s">
        <v>69</v>
      </c>
      <c r="D13" s="5" t="s">
        <v>13</v>
      </c>
      <c r="E13" s="5" t="s">
        <v>70</v>
      </c>
      <c r="F13" s="5" t="s">
        <v>37</v>
      </c>
      <c r="G13" s="5" t="s">
        <v>71</v>
      </c>
      <c r="H13" s="5" t="s">
        <v>17</v>
      </c>
    </row>
    <row r="14" customFormat="false" ht="15" hidden="false" customHeight="false" outlineLevel="0" collapsed="false">
      <c r="A14" s="4" t="s">
        <v>72</v>
      </c>
      <c r="B14" s="5" t="s">
        <v>73</v>
      </c>
      <c r="C14" s="5" t="s">
        <v>74</v>
      </c>
      <c r="D14" s="5" t="s">
        <v>21</v>
      </c>
      <c r="E14" s="5" t="s">
        <v>75</v>
      </c>
      <c r="F14" s="5" t="s">
        <v>45</v>
      </c>
      <c r="G14" s="5" t="s">
        <v>76</v>
      </c>
      <c r="H14" s="5" t="s">
        <v>39</v>
      </c>
    </row>
    <row r="15" customFormat="false" ht="15" hidden="false" customHeight="false" outlineLevel="0" collapsed="false">
      <c r="A15" s="4" t="s">
        <v>77</v>
      </c>
      <c r="B15" s="5" t="s">
        <v>78</v>
      </c>
      <c r="C15" s="5" t="s">
        <v>79</v>
      </c>
      <c r="D15" s="5" t="s">
        <v>28</v>
      </c>
      <c r="E15" s="5" t="s">
        <v>14</v>
      </c>
      <c r="F15" s="5" t="s">
        <v>15</v>
      </c>
      <c r="G15" s="5" t="s">
        <v>16</v>
      </c>
      <c r="H15" s="5" t="s">
        <v>47</v>
      </c>
    </row>
    <row r="16" customFormat="false" ht="15" hidden="false" customHeight="false" outlineLevel="0" collapsed="false">
      <c r="A16" s="4" t="s">
        <v>80</v>
      </c>
      <c r="B16" s="5" t="s">
        <v>81</v>
      </c>
      <c r="C16" s="5" t="s">
        <v>82</v>
      </c>
      <c r="D16" s="5" t="s">
        <v>35</v>
      </c>
      <c r="E16" s="5" t="s">
        <v>22</v>
      </c>
      <c r="F16" s="5" t="s">
        <v>23</v>
      </c>
      <c r="G16" s="5" t="s">
        <v>24</v>
      </c>
      <c r="H16" s="5" t="s">
        <v>54</v>
      </c>
    </row>
    <row r="17" customFormat="false" ht="15" hidden="false" customHeight="false" outlineLevel="0" collapsed="false">
      <c r="A17" s="4" t="s">
        <v>83</v>
      </c>
      <c r="B17" s="5" t="s">
        <v>84</v>
      </c>
      <c r="C17" s="5" t="s">
        <v>85</v>
      </c>
      <c r="D17" s="5" t="s">
        <v>43</v>
      </c>
      <c r="E17" s="5" t="s">
        <v>29</v>
      </c>
      <c r="F17" s="5" t="s">
        <v>30</v>
      </c>
      <c r="G17" s="5" t="s">
        <v>31</v>
      </c>
      <c r="H17" s="5" t="s">
        <v>17</v>
      </c>
    </row>
    <row r="18" customFormat="false" ht="15" hidden="false" customHeight="false" outlineLevel="0" collapsed="false">
      <c r="A18" s="4" t="s">
        <v>86</v>
      </c>
      <c r="B18" s="5" t="s">
        <v>87</v>
      </c>
      <c r="C18" s="5" t="s">
        <v>88</v>
      </c>
      <c r="D18" s="5" t="s">
        <v>51</v>
      </c>
      <c r="E18" s="5" t="s">
        <v>36</v>
      </c>
      <c r="F18" s="5" t="s">
        <v>37</v>
      </c>
      <c r="G18" s="5" t="s">
        <v>38</v>
      </c>
      <c r="H18" s="5" t="s">
        <v>17</v>
      </c>
    </row>
    <row r="19" customFormat="false" ht="15" hidden="false" customHeight="false" outlineLevel="0" collapsed="false">
      <c r="A19" s="4" t="s">
        <v>89</v>
      </c>
      <c r="B19" s="5" t="s">
        <v>90</v>
      </c>
      <c r="C19" s="5" t="s">
        <v>91</v>
      </c>
      <c r="D19" s="5" t="s">
        <v>58</v>
      </c>
      <c r="E19" s="5" t="s">
        <v>44</v>
      </c>
      <c r="F19" s="5" t="s">
        <v>45</v>
      </c>
      <c r="G19" s="5" t="s">
        <v>46</v>
      </c>
      <c r="H19" s="5" t="s">
        <v>17</v>
      </c>
    </row>
    <row r="20" customFormat="false" ht="15" hidden="false" customHeight="false" outlineLevel="0" collapsed="false">
      <c r="A20" s="4" t="s">
        <v>92</v>
      </c>
      <c r="B20" s="5" t="s">
        <v>93</v>
      </c>
      <c r="C20" s="5" t="s">
        <v>94</v>
      </c>
      <c r="D20" s="5" t="s">
        <v>64</v>
      </c>
      <c r="E20" s="5" t="s">
        <v>52</v>
      </c>
      <c r="F20" s="5" t="s">
        <v>15</v>
      </c>
      <c r="G20" s="5" t="s">
        <v>53</v>
      </c>
      <c r="H20" s="5" t="s">
        <v>39</v>
      </c>
    </row>
    <row r="21" customFormat="false" ht="15" hidden="false" customHeight="false" outlineLevel="0" collapsed="false">
      <c r="A21" s="4" t="s">
        <v>95</v>
      </c>
      <c r="B21" s="5" t="s">
        <v>96</v>
      </c>
      <c r="C21" s="5" t="s">
        <v>97</v>
      </c>
      <c r="D21" s="5" t="s">
        <v>13</v>
      </c>
      <c r="E21" s="5" t="s">
        <v>59</v>
      </c>
      <c r="F21" s="5" t="s">
        <v>23</v>
      </c>
      <c r="G21" s="5" t="s">
        <v>60</v>
      </c>
      <c r="H21" s="5" t="s">
        <v>47</v>
      </c>
    </row>
    <row r="22" customFormat="false" ht="15" hidden="false" customHeight="false" outlineLevel="0" collapsed="false">
      <c r="A22" s="4" t="s">
        <v>98</v>
      </c>
      <c r="B22" s="5" t="s">
        <v>99</v>
      </c>
      <c r="C22" s="5" t="s">
        <v>100</v>
      </c>
      <c r="D22" s="5" t="s">
        <v>21</v>
      </c>
      <c r="E22" s="5" t="s">
        <v>65</v>
      </c>
      <c r="F22" s="5" t="s">
        <v>30</v>
      </c>
      <c r="G22" s="5" t="s">
        <v>66</v>
      </c>
      <c r="H22" s="5" t="s">
        <v>54</v>
      </c>
    </row>
    <row r="23" customFormat="false" ht="15" hidden="false" customHeight="false" outlineLevel="0" collapsed="false">
      <c r="A23" s="4" t="s">
        <v>101</v>
      </c>
      <c r="B23" s="5" t="s">
        <v>102</v>
      </c>
      <c r="C23" s="5" t="s">
        <v>103</v>
      </c>
      <c r="D23" s="5" t="s">
        <v>28</v>
      </c>
      <c r="E23" s="5" t="s">
        <v>70</v>
      </c>
      <c r="F23" s="5" t="s">
        <v>37</v>
      </c>
      <c r="G23" s="5" t="s">
        <v>71</v>
      </c>
      <c r="H23" s="5" t="s">
        <v>17</v>
      </c>
    </row>
    <row r="24" customFormat="false" ht="15" hidden="false" customHeight="false" outlineLevel="0" collapsed="false">
      <c r="A24" s="4" t="s">
        <v>104</v>
      </c>
      <c r="B24" s="5" t="s">
        <v>105</v>
      </c>
      <c r="C24" s="5" t="s">
        <v>106</v>
      </c>
      <c r="D24" s="5" t="s">
        <v>35</v>
      </c>
      <c r="E24" s="5" t="s">
        <v>75</v>
      </c>
      <c r="F24" s="5" t="s">
        <v>45</v>
      </c>
      <c r="G24" s="5" t="s">
        <v>76</v>
      </c>
      <c r="H24" s="5" t="s">
        <v>17</v>
      </c>
    </row>
    <row r="25" customFormat="false" ht="15" hidden="false" customHeight="false" outlineLevel="0" collapsed="false">
      <c r="A25" s="4" t="s">
        <v>107</v>
      </c>
      <c r="B25" s="5" t="s">
        <v>108</v>
      </c>
      <c r="C25" s="5" t="s">
        <v>12</v>
      </c>
      <c r="D25" s="5" t="s">
        <v>43</v>
      </c>
      <c r="E25" s="5" t="s">
        <v>14</v>
      </c>
      <c r="F25" s="5" t="s">
        <v>15</v>
      </c>
      <c r="G25" s="5" t="s">
        <v>16</v>
      </c>
      <c r="H25" s="5" t="s">
        <v>17</v>
      </c>
    </row>
    <row r="26" customFormat="false" ht="15" hidden="false" customHeight="false" outlineLevel="0" collapsed="false">
      <c r="A26" s="4" t="s">
        <v>109</v>
      </c>
      <c r="B26" s="5" t="s">
        <v>110</v>
      </c>
      <c r="C26" s="5" t="s">
        <v>20</v>
      </c>
      <c r="D26" s="5" t="s">
        <v>51</v>
      </c>
      <c r="E26" s="5" t="s">
        <v>22</v>
      </c>
      <c r="F26" s="5" t="s">
        <v>23</v>
      </c>
      <c r="G26" s="5" t="s">
        <v>24</v>
      </c>
      <c r="H26" s="5" t="s">
        <v>39</v>
      </c>
    </row>
    <row r="27" customFormat="false" ht="15" hidden="false" customHeight="false" outlineLevel="0" collapsed="false">
      <c r="A27" s="4" t="s">
        <v>111</v>
      </c>
      <c r="B27" s="5" t="s">
        <v>112</v>
      </c>
      <c r="C27" s="5" t="s">
        <v>27</v>
      </c>
      <c r="D27" s="5" t="s">
        <v>58</v>
      </c>
      <c r="E27" s="5" t="s">
        <v>29</v>
      </c>
      <c r="F27" s="5" t="s">
        <v>30</v>
      </c>
      <c r="G27" s="5" t="s">
        <v>31</v>
      </c>
      <c r="H27" s="5" t="s">
        <v>47</v>
      </c>
    </row>
    <row r="28" customFormat="false" ht="15" hidden="false" customHeight="false" outlineLevel="0" collapsed="false">
      <c r="A28" s="4" t="s">
        <v>113</v>
      </c>
      <c r="B28" s="5" t="s">
        <v>114</v>
      </c>
      <c r="C28" s="5" t="s">
        <v>34</v>
      </c>
      <c r="D28" s="5" t="s">
        <v>64</v>
      </c>
      <c r="E28" s="5" t="s">
        <v>36</v>
      </c>
      <c r="F28" s="5" t="s">
        <v>37</v>
      </c>
      <c r="G28" s="5" t="s">
        <v>38</v>
      </c>
      <c r="H28" s="5" t="s">
        <v>54</v>
      </c>
    </row>
    <row r="29" customFormat="false" ht="15" hidden="false" customHeight="false" outlineLevel="0" collapsed="false">
      <c r="A29" s="4" t="s">
        <v>115</v>
      </c>
      <c r="B29" s="5" t="s">
        <v>116</v>
      </c>
      <c r="C29" s="5" t="s">
        <v>42</v>
      </c>
      <c r="D29" s="5" t="s">
        <v>13</v>
      </c>
      <c r="E29" s="5" t="s">
        <v>44</v>
      </c>
      <c r="F29" s="5" t="s">
        <v>45</v>
      </c>
      <c r="G29" s="5" t="s">
        <v>46</v>
      </c>
      <c r="H29" s="5" t="s">
        <v>17</v>
      </c>
    </row>
    <row r="30" customFormat="false" ht="15" hidden="false" customHeight="false" outlineLevel="0" collapsed="false">
      <c r="A30" s="4" t="s">
        <v>117</v>
      </c>
      <c r="B30" s="5" t="s">
        <v>118</v>
      </c>
      <c r="C30" s="5" t="s">
        <v>50</v>
      </c>
      <c r="D30" s="5" t="s">
        <v>21</v>
      </c>
      <c r="E30" s="5" t="s">
        <v>52</v>
      </c>
      <c r="F30" s="5" t="s">
        <v>15</v>
      </c>
      <c r="G30" s="5" t="s">
        <v>53</v>
      </c>
      <c r="H30" s="5" t="s">
        <v>17</v>
      </c>
    </row>
    <row r="31" customFormat="false" ht="15" hidden="false" customHeight="false" outlineLevel="0" collapsed="false">
      <c r="A31" s="4" t="s">
        <v>119</v>
      </c>
      <c r="B31" s="5" t="s">
        <v>120</v>
      </c>
      <c r="C31" s="5" t="s">
        <v>57</v>
      </c>
      <c r="D31" s="5" t="s">
        <v>28</v>
      </c>
      <c r="E31" s="5" t="s">
        <v>59</v>
      </c>
      <c r="F31" s="5" t="s">
        <v>23</v>
      </c>
      <c r="G31" s="5" t="s">
        <v>60</v>
      </c>
      <c r="H31" s="5" t="s">
        <v>17</v>
      </c>
    </row>
    <row r="32" customFormat="false" ht="15" hidden="false" customHeight="false" outlineLevel="0" collapsed="false">
      <c r="A32" s="4" t="s">
        <v>121</v>
      </c>
      <c r="B32" s="5" t="s">
        <v>122</v>
      </c>
      <c r="C32" s="5" t="s">
        <v>63</v>
      </c>
      <c r="D32" s="5" t="s">
        <v>35</v>
      </c>
      <c r="E32" s="5" t="s">
        <v>65</v>
      </c>
      <c r="F32" s="5" t="s">
        <v>30</v>
      </c>
      <c r="G32" s="5" t="s">
        <v>66</v>
      </c>
      <c r="H32" s="5" t="s">
        <v>39</v>
      </c>
    </row>
    <row r="33" customFormat="false" ht="15" hidden="false" customHeight="false" outlineLevel="0" collapsed="false">
      <c r="A33" s="4" t="s">
        <v>123</v>
      </c>
      <c r="B33" s="5" t="s">
        <v>124</v>
      </c>
      <c r="C33" s="5" t="s">
        <v>69</v>
      </c>
      <c r="D33" s="5" t="s">
        <v>43</v>
      </c>
      <c r="E33" s="5" t="s">
        <v>70</v>
      </c>
      <c r="F33" s="5" t="s">
        <v>37</v>
      </c>
      <c r="G33" s="5" t="s">
        <v>71</v>
      </c>
      <c r="H33" s="5" t="s">
        <v>47</v>
      </c>
    </row>
    <row r="34" customFormat="false" ht="15" hidden="false" customHeight="false" outlineLevel="0" collapsed="false">
      <c r="A34" s="4" t="s">
        <v>125</v>
      </c>
      <c r="B34" s="5" t="s">
        <v>126</v>
      </c>
      <c r="C34" s="5" t="s">
        <v>74</v>
      </c>
      <c r="D34" s="5" t="s">
        <v>51</v>
      </c>
      <c r="E34" s="5" t="s">
        <v>75</v>
      </c>
      <c r="F34" s="5" t="s">
        <v>45</v>
      </c>
      <c r="G34" s="5" t="s">
        <v>76</v>
      </c>
      <c r="H34" s="5" t="s">
        <v>54</v>
      </c>
    </row>
    <row r="35" customFormat="false" ht="15" hidden="false" customHeight="false" outlineLevel="0" collapsed="false">
      <c r="A35" s="4" t="s">
        <v>127</v>
      </c>
      <c r="B35" s="5" t="s">
        <v>128</v>
      </c>
      <c r="C35" s="5" t="s">
        <v>79</v>
      </c>
      <c r="D35" s="5" t="s">
        <v>58</v>
      </c>
      <c r="E35" s="5" t="s">
        <v>14</v>
      </c>
      <c r="F35" s="5" t="s">
        <v>15</v>
      </c>
      <c r="G35" s="5" t="s">
        <v>16</v>
      </c>
      <c r="H35" s="5" t="s">
        <v>17</v>
      </c>
    </row>
    <row r="36" customFormat="false" ht="15" hidden="false" customHeight="false" outlineLevel="0" collapsed="false">
      <c r="A36" s="4" t="s">
        <v>129</v>
      </c>
      <c r="B36" s="5" t="s">
        <v>130</v>
      </c>
      <c r="C36" s="5" t="s">
        <v>82</v>
      </c>
      <c r="D36" s="5" t="s">
        <v>64</v>
      </c>
      <c r="E36" s="5" t="s">
        <v>22</v>
      </c>
      <c r="F36" s="5" t="s">
        <v>23</v>
      </c>
      <c r="G36" s="5" t="s">
        <v>24</v>
      </c>
      <c r="H36" s="5" t="s">
        <v>17</v>
      </c>
    </row>
    <row r="37" customFormat="false" ht="15" hidden="false" customHeight="false" outlineLevel="0" collapsed="false">
      <c r="A37" s="4" t="s">
        <v>131</v>
      </c>
      <c r="B37" s="5" t="s">
        <v>132</v>
      </c>
      <c r="C37" s="5" t="s">
        <v>85</v>
      </c>
      <c r="D37" s="5" t="s">
        <v>13</v>
      </c>
      <c r="E37" s="5" t="s">
        <v>29</v>
      </c>
      <c r="F37" s="5" t="s">
        <v>30</v>
      </c>
      <c r="G37" s="5" t="s">
        <v>31</v>
      </c>
      <c r="H37" s="5" t="s">
        <v>17</v>
      </c>
    </row>
    <row r="38" customFormat="false" ht="15" hidden="false" customHeight="false" outlineLevel="0" collapsed="false">
      <c r="A38" s="4" t="s">
        <v>133</v>
      </c>
      <c r="B38" s="5" t="s">
        <v>134</v>
      </c>
      <c r="C38" s="5" t="s">
        <v>88</v>
      </c>
      <c r="D38" s="5" t="s">
        <v>21</v>
      </c>
      <c r="E38" s="5" t="s">
        <v>36</v>
      </c>
      <c r="F38" s="5" t="s">
        <v>37</v>
      </c>
      <c r="G38" s="5" t="s">
        <v>38</v>
      </c>
      <c r="H38" s="5" t="s">
        <v>39</v>
      </c>
    </row>
    <row r="39" customFormat="false" ht="15" hidden="false" customHeight="false" outlineLevel="0" collapsed="false">
      <c r="A39" s="4" t="s">
        <v>135</v>
      </c>
      <c r="B39" s="5" t="s">
        <v>136</v>
      </c>
      <c r="C39" s="5" t="s">
        <v>91</v>
      </c>
      <c r="D39" s="5" t="s">
        <v>28</v>
      </c>
      <c r="E39" s="5" t="s">
        <v>44</v>
      </c>
      <c r="F39" s="5" t="s">
        <v>45</v>
      </c>
      <c r="G39" s="5" t="s">
        <v>46</v>
      </c>
      <c r="H39" s="5" t="s">
        <v>47</v>
      </c>
    </row>
    <row r="40" customFormat="false" ht="15" hidden="false" customHeight="false" outlineLevel="0" collapsed="false">
      <c r="A40" s="4" t="s">
        <v>137</v>
      </c>
      <c r="B40" s="5" t="s">
        <v>138</v>
      </c>
      <c r="C40" s="5" t="s">
        <v>94</v>
      </c>
      <c r="D40" s="5" t="s">
        <v>35</v>
      </c>
      <c r="E40" s="5" t="s">
        <v>52</v>
      </c>
      <c r="F40" s="5" t="s">
        <v>15</v>
      </c>
      <c r="G40" s="5" t="s">
        <v>53</v>
      </c>
      <c r="H40" s="5" t="s">
        <v>54</v>
      </c>
    </row>
    <row r="41" customFormat="false" ht="15" hidden="false" customHeight="false" outlineLevel="0" collapsed="false">
      <c r="A41" s="4" t="s">
        <v>139</v>
      </c>
      <c r="B41" s="5" t="s">
        <v>140</v>
      </c>
      <c r="C41" s="5" t="s">
        <v>97</v>
      </c>
      <c r="D41" s="5" t="s">
        <v>43</v>
      </c>
      <c r="E41" s="5" t="s">
        <v>59</v>
      </c>
      <c r="F41" s="5" t="s">
        <v>23</v>
      </c>
      <c r="G41" s="5" t="s">
        <v>60</v>
      </c>
      <c r="H41" s="5" t="s">
        <v>17</v>
      </c>
    </row>
    <row r="42" customFormat="false" ht="15" hidden="false" customHeight="false" outlineLevel="0" collapsed="false">
      <c r="A42" s="4" t="s">
        <v>141</v>
      </c>
      <c r="B42" s="5" t="s">
        <v>142</v>
      </c>
      <c r="C42" s="5" t="s">
        <v>100</v>
      </c>
      <c r="D42" s="5" t="s">
        <v>51</v>
      </c>
      <c r="E42" s="5" t="s">
        <v>65</v>
      </c>
      <c r="F42" s="5" t="s">
        <v>30</v>
      </c>
      <c r="G42" s="5" t="s">
        <v>66</v>
      </c>
      <c r="H42" s="5" t="s">
        <v>17</v>
      </c>
    </row>
    <row r="43" customFormat="false" ht="15" hidden="false" customHeight="false" outlineLevel="0" collapsed="false">
      <c r="A43" s="4" t="s">
        <v>143</v>
      </c>
      <c r="B43" s="5" t="s">
        <v>144</v>
      </c>
      <c r="C43" s="5" t="s">
        <v>103</v>
      </c>
      <c r="D43" s="5" t="s">
        <v>58</v>
      </c>
      <c r="E43" s="5" t="s">
        <v>70</v>
      </c>
      <c r="F43" s="5" t="s">
        <v>37</v>
      </c>
      <c r="G43" s="5" t="s">
        <v>71</v>
      </c>
      <c r="H43" s="5" t="s">
        <v>17</v>
      </c>
    </row>
    <row r="44" customFormat="false" ht="15" hidden="false" customHeight="false" outlineLevel="0" collapsed="false">
      <c r="A44" s="4" t="s">
        <v>145</v>
      </c>
      <c r="B44" s="5" t="s">
        <v>146</v>
      </c>
      <c r="C44" s="5" t="s">
        <v>106</v>
      </c>
      <c r="D44" s="5" t="s">
        <v>64</v>
      </c>
      <c r="E44" s="5" t="s">
        <v>75</v>
      </c>
      <c r="F44" s="5" t="s">
        <v>45</v>
      </c>
      <c r="G44" s="5" t="s">
        <v>76</v>
      </c>
      <c r="H44" s="5" t="s">
        <v>39</v>
      </c>
    </row>
    <row r="45" customFormat="false" ht="15" hidden="false" customHeight="false" outlineLevel="0" collapsed="false">
      <c r="A45" s="4" t="s">
        <v>147</v>
      </c>
      <c r="B45" s="5" t="s">
        <v>148</v>
      </c>
      <c r="C45" s="5" t="s">
        <v>12</v>
      </c>
      <c r="D45" s="5" t="s">
        <v>13</v>
      </c>
      <c r="E45" s="5" t="s">
        <v>14</v>
      </c>
      <c r="F45" s="5" t="s">
        <v>15</v>
      </c>
      <c r="G45" s="5" t="s">
        <v>16</v>
      </c>
      <c r="H45" s="5" t="s">
        <v>47</v>
      </c>
    </row>
    <row r="46" customFormat="false" ht="15" hidden="false" customHeight="false" outlineLevel="0" collapsed="false">
      <c r="A46" s="4" t="s">
        <v>149</v>
      </c>
      <c r="B46" s="5" t="s">
        <v>150</v>
      </c>
      <c r="C46" s="5" t="s">
        <v>20</v>
      </c>
      <c r="D46" s="5" t="s">
        <v>21</v>
      </c>
      <c r="E46" s="5" t="s">
        <v>22</v>
      </c>
      <c r="F46" s="5" t="s">
        <v>23</v>
      </c>
      <c r="G46" s="5" t="s">
        <v>24</v>
      </c>
      <c r="H46" s="5" t="s">
        <v>54</v>
      </c>
    </row>
    <row r="47" customFormat="false" ht="15" hidden="false" customHeight="false" outlineLevel="0" collapsed="false">
      <c r="A47" s="4" t="s">
        <v>151</v>
      </c>
      <c r="B47" s="5" t="s">
        <v>152</v>
      </c>
      <c r="C47" s="5" t="s">
        <v>27</v>
      </c>
      <c r="D47" s="5" t="s">
        <v>28</v>
      </c>
      <c r="E47" s="5" t="s">
        <v>29</v>
      </c>
      <c r="F47" s="5" t="s">
        <v>30</v>
      </c>
      <c r="G47" s="5" t="s">
        <v>31</v>
      </c>
      <c r="H47" s="5" t="s">
        <v>17</v>
      </c>
    </row>
    <row r="48" customFormat="false" ht="15" hidden="false" customHeight="false" outlineLevel="0" collapsed="false">
      <c r="A48" s="4" t="s">
        <v>153</v>
      </c>
      <c r="B48" s="5" t="s">
        <v>154</v>
      </c>
      <c r="C48" s="5" t="s">
        <v>34</v>
      </c>
      <c r="D48" s="5" t="s">
        <v>35</v>
      </c>
      <c r="E48" s="5" t="s">
        <v>36</v>
      </c>
      <c r="F48" s="5" t="s">
        <v>37</v>
      </c>
      <c r="G48" s="5" t="s">
        <v>38</v>
      </c>
      <c r="H48" s="5" t="s">
        <v>17</v>
      </c>
    </row>
    <row r="49" customFormat="false" ht="15" hidden="false" customHeight="false" outlineLevel="0" collapsed="false">
      <c r="A49" s="4" t="s">
        <v>155</v>
      </c>
      <c r="B49" s="5" t="s">
        <v>156</v>
      </c>
      <c r="C49" s="5" t="s">
        <v>42</v>
      </c>
      <c r="D49" s="5" t="s">
        <v>43</v>
      </c>
      <c r="E49" s="5" t="s">
        <v>44</v>
      </c>
      <c r="F49" s="5" t="s">
        <v>45</v>
      </c>
      <c r="G49" s="5" t="s">
        <v>46</v>
      </c>
      <c r="H49" s="5" t="s">
        <v>17</v>
      </c>
    </row>
    <row r="50" customFormat="false" ht="15" hidden="false" customHeight="false" outlineLevel="0" collapsed="false">
      <c r="A50" s="4" t="s">
        <v>157</v>
      </c>
      <c r="B50" s="5" t="s">
        <v>158</v>
      </c>
      <c r="C50" s="5" t="s">
        <v>50</v>
      </c>
      <c r="D50" s="5" t="s">
        <v>51</v>
      </c>
      <c r="E50" s="5" t="s">
        <v>52</v>
      </c>
      <c r="F50" s="5" t="s">
        <v>15</v>
      </c>
      <c r="G50" s="5" t="s">
        <v>53</v>
      </c>
      <c r="H50" s="5" t="s">
        <v>39</v>
      </c>
    </row>
    <row r="51" customFormat="false" ht="15" hidden="false" customHeight="false" outlineLevel="0" collapsed="false">
      <c r="A51" s="4" t="s">
        <v>159</v>
      </c>
      <c r="B51" s="5" t="s">
        <v>160</v>
      </c>
      <c r="C51" s="5" t="s">
        <v>57</v>
      </c>
      <c r="D51" s="5" t="s">
        <v>58</v>
      </c>
      <c r="E51" s="5" t="s">
        <v>59</v>
      </c>
      <c r="F51" s="5" t="s">
        <v>23</v>
      </c>
      <c r="G51" s="5" t="s">
        <v>60</v>
      </c>
      <c r="H51" s="5" t="s">
        <v>47</v>
      </c>
    </row>
    <row r="52" customFormat="false" ht="15" hidden="false" customHeight="false" outlineLevel="0" collapsed="false">
      <c r="A52" s="4" t="s">
        <v>161</v>
      </c>
      <c r="B52" s="5" t="s">
        <v>162</v>
      </c>
      <c r="C52" s="5" t="s">
        <v>63</v>
      </c>
      <c r="D52" s="5" t="s">
        <v>64</v>
      </c>
      <c r="E52" s="5" t="s">
        <v>65</v>
      </c>
      <c r="F52" s="5" t="s">
        <v>30</v>
      </c>
      <c r="G52" s="5" t="s">
        <v>66</v>
      </c>
      <c r="H52" s="5" t="s">
        <v>54</v>
      </c>
    </row>
    <row r="53" customFormat="false" ht="15" hidden="false" customHeight="false" outlineLevel="0" collapsed="false">
      <c r="A53" s="4" t="s">
        <v>163</v>
      </c>
      <c r="B53" s="5" t="s">
        <v>164</v>
      </c>
      <c r="C53" s="5" t="s">
        <v>69</v>
      </c>
      <c r="D53" s="5" t="s">
        <v>13</v>
      </c>
      <c r="E53" s="5" t="s">
        <v>70</v>
      </c>
      <c r="F53" s="5" t="s">
        <v>37</v>
      </c>
      <c r="G53" s="5" t="s">
        <v>71</v>
      </c>
      <c r="H53" s="5" t="s">
        <v>17</v>
      </c>
    </row>
    <row r="54" customFormat="false" ht="15" hidden="false" customHeight="false" outlineLevel="0" collapsed="false">
      <c r="A54" s="4" t="s">
        <v>165</v>
      </c>
      <c r="B54" s="5" t="s">
        <v>166</v>
      </c>
      <c r="C54" s="5" t="s">
        <v>74</v>
      </c>
      <c r="D54" s="5" t="s">
        <v>21</v>
      </c>
      <c r="E54" s="5" t="s">
        <v>75</v>
      </c>
      <c r="F54" s="5" t="s">
        <v>45</v>
      </c>
      <c r="G54" s="5" t="s">
        <v>76</v>
      </c>
      <c r="H54" s="5" t="s">
        <v>17</v>
      </c>
    </row>
    <row r="55" customFormat="false" ht="15" hidden="false" customHeight="false" outlineLevel="0" collapsed="false">
      <c r="A55" s="4" t="s">
        <v>167</v>
      </c>
      <c r="B55" s="5" t="s">
        <v>168</v>
      </c>
      <c r="C55" s="5" t="s">
        <v>79</v>
      </c>
      <c r="D55" s="5" t="s">
        <v>28</v>
      </c>
      <c r="E55" s="5" t="s">
        <v>14</v>
      </c>
      <c r="F55" s="5" t="s">
        <v>15</v>
      </c>
      <c r="G55" s="5" t="s">
        <v>16</v>
      </c>
      <c r="H55" s="5" t="s">
        <v>17</v>
      </c>
    </row>
    <row r="56" customFormat="false" ht="15" hidden="false" customHeight="false" outlineLevel="0" collapsed="false">
      <c r="A56" s="4" t="s">
        <v>169</v>
      </c>
      <c r="B56" s="5" t="s">
        <v>170</v>
      </c>
      <c r="C56" s="5" t="s">
        <v>82</v>
      </c>
      <c r="D56" s="5" t="s">
        <v>35</v>
      </c>
      <c r="E56" s="5" t="s">
        <v>22</v>
      </c>
      <c r="F56" s="5" t="s">
        <v>23</v>
      </c>
      <c r="G56" s="5" t="s">
        <v>24</v>
      </c>
      <c r="H56" s="5" t="s">
        <v>39</v>
      </c>
    </row>
    <row r="57" customFormat="false" ht="15" hidden="false" customHeight="false" outlineLevel="0" collapsed="false">
      <c r="A57" s="4" t="s">
        <v>171</v>
      </c>
      <c r="B57" s="5" t="s">
        <v>172</v>
      </c>
      <c r="C57" s="5" t="s">
        <v>85</v>
      </c>
      <c r="D57" s="5" t="s">
        <v>43</v>
      </c>
      <c r="E57" s="5" t="s">
        <v>29</v>
      </c>
      <c r="F57" s="5" t="s">
        <v>30</v>
      </c>
      <c r="G57" s="5" t="s">
        <v>31</v>
      </c>
      <c r="H57" s="5" t="s">
        <v>47</v>
      </c>
    </row>
    <row r="58" customFormat="false" ht="15" hidden="false" customHeight="false" outlineLevel="0" collapsed="false">
      <c r="A58" s="4" t="s">
        <v>173</v>
      </c>
      <c r="B58" s="5" t="s">
        <v>174</v>
      </c>
      <c r="C58" s="5" t="s">
        <v>88</v>
      </c>
      <c r="D58" s="5" t="s">
        <v>51</v>
      </c>
      <c r="E58" s="5" t="s">
        <v>36</v>
      </c>
      <c r="F58" s="5" t="s">
        <v>37</v>
      </c>
      <c r="G58" s="5" t="s">
        <v>38</v>
      </c>
      <c r="H58" s="5" t="s">
        <v>54</v>
      </c>
    </row>
    <row r="59" customFormat="false" ht="15" hidden="false" customHeight="false" outlineLevel="0" collapsed="false">
      <c r="A59" s="4" t="s">
        <v>175</v>
      </c>
      <c r="B59" s="5" t="s">
        <v>176</v>
      </c>
      <c r="C59" s="5" t="s">
        <v>91</v>
      </c>
      <c r="D59" s="5" t="s">
        <v>58</v>
      </c>
      <c r="E59" s="5" t="s">
        <v>44</v>
      </c>
      <c r="F59" s="5" t="s">
        <v>45</v>
      </c>
      <c r="G59" s="5" t="s">
        <v>46</v>
      </c>
      <c r="H59" s="5" t="s">
        <v>17</v>
      </c>
    </row>
    <row r="60" customFormat="false" ht="15" hidden="false" customHeight="false" outlineLevel="0" collapsed="false">
      <c r="A60" s="4" t="s">
        <v>177</v>
      </c>
      <c r="B60" s="5" t="s">
        <v>178</v>
      </c>
      <c r="C60" s="5" t="s">
        <v>94</v>
      </c>
      <c r="D60" s="5" t="s">
        <v>64</v>
      </c>
      <c r="E60" s="5" t="s">
        <v>52</v>
      </c>
      <c r="F60" s="5" t="s">
        <v>15</v>
      </c>
      <c r="G60" s="5" t="s">
        <v>53</v>
      </c>
      <c r="H60" s="5" t="s">
        <v>17</v>
      </c>
    </row>
    <row r="61" customFormat="false" ht="15" hidden="false" customHeight="false" outlineLevel="0" collapsed="false">
      <c r="A61" s="4" t="s">
        <v>179</v>
      </c>
      <c r="B61" s="5" t="s">
        <v>180</v>
      </c>
      <c r="C61" s="5" t="s">
        <v>97</v>
      </c>
      <c r="D61" s="5" t="s">
        <v>13</v>
      </c>
      <c r="E61" s="5" t="s">
        <v>59</v>
      </c>
      <c r="F61" s="5" t="s">
        <v>23</v>
      </c>
      <c r="G61" s="5" t="s">
        <v>60</v>
      </c>
      <c r="H61" s="5" t="s">
        <v>17</v>
      </c>
    </row>
    <row r="62" customFormat="false" ht="15" hidden="false" customHeight="false" outlineLevel="0" collapsed="false">
      <c r="A62" s="4" t="s">
        <v>181</v>
      </c>
      <c r="B62" s="5" t="s">
        <v>182</v>
      </c>
      <c r="C62" s="5" t="s">
        <v>100</v>
      </c>
      <c r="D62" s="5" t="s">
        <v>21</v>
      </c>
      <c r="E62" s="5" t="s">
        <v>65</v>
      </c>
      <c r="F62" s="5" t="s">
        <v>30</v>
      </c>
      <c r="G62" s="5" t="s">
        <v>66</v>
      </c>
      <c r="H62" s="5" t="s">
        <v>39</v>
      </c>
    </row>
    <row r="63" customFormat="false" ht="15" hidden="false" customHeight="false" outlineLevel="0" collapsed="false">
      <c r="A63" s="4" t="s">
        <v>183</v>
      </c>
      <c r="B63" s="5" t="s">
        <v>184</v>
      </c>
      <c r="C63" s="5" t="s">
        <v>103</v>
      </c>
      <c r="D63" s="5" t="s">
        <v>28</v>
      </c>
      <c r="E63" s="5" t="s">
        <v>70</v>
      </c>
      <c r="F63" s="5" t="s">
        <v>37</v>
      </c>
      <c r="G63" s="5" t="s">
        <v>71</v>
      </c>
      <c r="H63" s="5" t="s">
        <v>47</v>
      </c>
    </row>
    <row r="64" customFormat="false" ht="15" hidden="false" customHeight="false" outlineLevel="0" collapsed="false">
      <c r="A64" s="4" t="s">
        <v>185</v>
      </c>
      <c r="B64" s="5" t="s">
        <v>186</v>
      </c>
      <c r="C64" s="5" t="s">
        <v>106</v>
      </c>
      <c r="D64" s="5" t="s">
        <v>35</v>
      </c>
      <c r="E64" s="5" t="s">
        <v>75</v>
      </c>
      <c r="F64" s="5" t="s">
        <v>45</v>
      </c>
      <c r="G64" s="5" t="s">
        <v>76</v>
      </c>
      <c r="H64" s="5" t="s">
        <v>54</v>
      </c>
    </row>
    <row r="65" customFormat="false" ht="15" hidden="false" customHeight="false" outlineLevel="0" collapsed="false">
      <c r="A65" s="4" t="s">
        <v>187</v>
      </c>
      <c r="B65" s="5" t="s">
        <v>188</v>
      </c>
      <c r="C65" s="5" t="s">
        <v>12</v>
      </c>
      <c r="D65" s="5" t="s">
        <v>43</v>
      </c>
      <c r="E65" s="5" t="s">
        <v>14</v>
      </c>
      <c r="F65" s="5" t="s">
        <v>15</v>
      </c>
      <c r="G65" s="5" t="s">
        <v>16</v>
      </c>
      <c r="H65" s="5" t="s">
        <v>17</v>
      </c>
    </row>
    <row r="66" customFormat="false" ht="15" hidden="false" customHeight="false" outlineLevel="0" collapsed="false">
      <c r="A66" s="4" t="s">
        <v>189</v>
      </c>
      <c r="B66" s="5" t="s">
        <v>190</v>
      </c>
      <c r="C66" s="5" t="s">
        <v>20</v>
      </c>
      <c r="D66" s="5" t="s">
        <v>51</v>
      </c>
      <c r="E66" s="5" t="s">
        <v>22</v>
      </c>
      <c r="F66" s="5" t="s">
        <v>23</v>
      </c>
      <c r="G66" s="5" t="s">
        <v>24</v>
      </c>
      <c r="H66" s="5" t="s">
        <v>17</v>
      </c>
    </row>
    <row r="67" customFormat="false" ht="15" hidden="false" customHeight="false" outlineLevel="0" collapsed="false">
      <c r="A67" s="4" t="s">
        <v>191</v>
      </c>
      <c r="B67" s="5" t="s">
        <v>192</v>
      </c>
      <c r="C67" s="5" t="s">
        <v>27</v>
      </c>
      <c r="D67" s="5" t="s">
        <v>58</v>
      </c>
      <c r="E67" s="5" t="s">
        <v>29</v>
      </c>
      <c r="F67" s="5" t="s">
        <v>30</v>
      </c>
      <c r="G67" s="5" t="s">
        <v>31</v>
      </c>
      <c r="H67" s="5" t="s">
        <v>17</v>
      </c>
    </row>
    <row r="68" customFormat="false" ht="15" hidden="false" customHeight="false" outlineLevel="0" collapsed="false">
      <c r="A68" s="4" t="s">
        <v>193</v>
      </c>
      <c r="B68" s="5" t="s">
        <v>194</v>
      </c>
      <c r="C68" s="5" t="s">
        <v>34</v>
      </c>
      <c r="D68" s="5" t="s">
        <v>64</v>
      </c>
      <c r="E68" s="5" t="s">
        <v>36</v>
      </c>
      <c r="F68" s="5" t="s">
        <v>37</v>
      </c>
      <c r="G68" s="5" t="s">
        <v>38</v>
      </c>
      <c r="H68" s="5" t="s">
        <v>39</v>
      </c>
    </row>
    <row r="69" customFormat="false" ht="15" hidden="false" customHeight="false" outlineLevel="0" collapsed="false">
      <c r="A69" s="4" t="s">
        <v>195</v>
      </c>
      <c r="B69" s="5" t="s">
        <v>196</v>
      </c>
      <c r="C69" s="5" t="s">
        <v>42</v>
      </c>
      <c r="D69" s="5" t="s">
        <v>13</v>
      </c>
      <c r="E69" s="5" t="s">
        <v>44</v>
      </c>
      <c r="F69" s="5" t="s">
        <v>45</v>
      </c>
      <c r="G69" s="5" t="s">
        <v>46</v>
      </c>
      <c r="H69" s="5" t="s">
        <v>47</v>
      </c>
    </row>
    <row r="70" customFormat="false" ht="15" hidden="false" customHeight="false" outlineLevel="0" collapsed="false">
      <c r="A70" s="4" t="s">
        <v>197</v>
      </c>
      <c r="B70" s="5" t="s">
        <v>198</v>
      </c>
      <c r="C70" s="5" t="s">
        <v>50</v>
      </c>
      <c r="D70" s="5" t="s">
        <v>21</v>
      </c>
      <c r="E70" s="5" t="s">
        <v>52</v>
      </c>
      <c r="F70" s="5" t="s">
        <v>15</v>
      </c>
      <c r="G70" s="5" t="s">
        <v>53</v>
      </c>
      <c r="H70" s="5" t="s">
        <v>54</v>
      </c>
    </row>
    <row r="71" customFormat="false" ht="15" hidden="false" customHeight="false" outlineLevel="0" collapsed="false">
      <c r="A71" s="4" t="s">
        <v>199</v>
      </c>
      <c r="B71" s="5" t="s">
        <v>200</v>
      </c>
      <c r="C71" s="5" t="s">
        <v>57</v>
      </c>
      <c r="D71" s="5" t="s">
        <v>28</v>
      </c>
      <c r="E71" s="5" t="s">
        <v>59</v>
      </c>
      <c r="F71" s="5" t="s">
        <v>23</v>
      </c>
      <c r="G71" s="5" t="s">
        <v>60</v>
      </c>
      <c r="H71" s="5" t="s">
        <v>17</v>
      </c>
    </row>
    <row r="72" customFormat="false" ht="15" hidden="false" customHeight="false" outlineLevel="0" collapsed="false">
      <c r="A72" s="4" t="s">
        <v>201</v>
      </c>
      <c r="B72" s="5" t="s">
        <v>202</v>
      </c>
      <c r="C72" s="5" t="s">
        <v>63</v>
      </c>
      <c r="D72" s="5" t="s">
        <v>35</v>
      </c>
      <c r="E72" s="5" t="s">
        <v>65</v>
      </c>
      <c r="F72" s="5" t="s">
        <v>30</v>
      </c>
      <c r="G72" s="5" t="s">
        <v>66</v>
      </c>
      <c r="H72" s="5" t="s">
        <v>17</v>
      </c>
    </row>
    <row r="73" customFormat="false" ht="15" hidden="false" customHeight="false" outlineLevel="0" collapsed="false">
      <c r="A73" s="4" t="s">
        <v>203</v>
      </c>
      <c r="B73" s="5" t="s">
        <v>204</v>
      </c>
      <c r="C73" s="5" t="s">
        <v>69</v>
      </c>
      <c r="D73" s="5" t="s">
        <v>43</v>
      </c>
      <c r="E73" s="5" t="s">
        <v>70</v>
      </c>
      <c r="F73" s="5" t="s">
        <v>37</v>
      </c>
      <c r="G73" s="5" t="s">
        <v>71</v>
      </c>
      <c r="H73" s="5" t="s">
        <v>17</v>
      </c>
    </row>
    <row r="74" customFormat="false" ht="15" hidden="false" customHeight="false" outlineLevel="0" collapsed="false">
      <c r="A74" s="4" t="s">
        <v>205</v>
      </c>
      <c r="B74" s="5" t="s">
        <v>206</v>
      </c>
      <c r="C74" s="5" t="s">
        <v>74</v>
      </c>
      <c r="D74" s="5" t="s">
        <v>51</v>
      </c>
      <c r="E74" s="5" t="s">
        <v>75</v>
      </c>
      <c r="F74" s="5" t="s">
        <v>45</v>
      </c>
      <c r="G74" s="5" t="s">
        <v>76</v>
      </c>
      <c r="H74" s="5" t="s">
        <v>39</v>
      </c>
    </row>
    <row r="75" customFormat="false" ht="15" hidden="false" customHeight="false" outlineLevel="0" collapsed="false">
      <c r="A75" s="4" t="s">
        <v>207</v>
      </c>
      <c r="B75" s="5" t="s">
        <v>208</v>
      </c>
      <c r="C75" s="5" t="s">
        <v>79</v>
      </c>
      <c r="D75" s="5" t="s">
        <v>58</v>
      </c>
      <c r="E75" s="5" t="s">
        <v>14</v>
      </c>
      <c r="F75" s="5" t="s">
        <v>15</v>
      </c>
      <c r="G75" s="5" t="s">
        <v>16</v>
      </c>
      <c r="H75" s="5" t="s">
        <v>47</v>
      </c>
    </row>
    <row r="76" customFormat="false" ht="15" hidden="false" customHeight="false" outlineLevel="0" collapsed="false">
      <c r="A76" s="4" t="s">
        <v>209</v>
      </c>
      <c r="B76" s="5" t="s">
        <v>210</v>
      </c>
      <c r="C76" s="5" t="s">
        <v>82</v>
      </c>
      <c r="D76" s="5" t="s">
        <v>64</v>
      </c>
      <c r="E76" s="5" t="s">
        <v>22</v>
      </c>
      <c r="F76" s="5" t="s">
        <v>23</v>
      </c>
      <c r="G76" s="5" t="s">
        <v>24</v>
      </c>
      <c r="H76" s="5" t="s">
        <v>54</v>
      </c>
    </row>
    <row r="77" customFormat="false" ht="15" hidden="false" customHeight="false" outlineLevel="0" collapsed="false">
      <c r="A77" s="4" t="s">
        <v>211</v>
      </c>
      <c r="B77" s="5" t="s">
        <v>212</v>
      </c>
      <c r="C77" s="5" t="s">
        <v>85</v>
      </c>
      <c r="D77" s="5" t="s">
        <v>13</v>
      </c>
      <c r="E77" s="5" t="s">
        <v>29</v>
      </c>
      <c r="F77" s="5" t="s">
        <v>30</v>
      </c>
      <c r="G77" s="5" t="s">
        <v>31</v>
      </c>
      <c r="H77" s="5" t="s">
        <v>17</v>
      </c>
    </row>
    <row r="78" customFormat="false" ht="15" hidden="false" customHeight="false" outlineLevel="0" collapsed="false">
      <c r="A78" s="4" t="s">
        <v>213</v>
      </c>
      <c r="B78" s="5" t="s">
        <v>214</v>
      </c>
      <c r="C78" s="5" t="s">
        <v>88</v>
      </c>
      <c r="D78" s="5" t="s">
        <v>21</v>
      </c>
      <c r="E78" s="5" t="s">
        <v>36</v>
      </c>
      <c r="F78" s="5" t="s">
        <v>37</v>
      </c>
      <c r="G78" s="5" t="s">
        <v>38</v>
      </c>
      <c r="H78" s="5" t="s">
        <v>17</v>
      </c>
    </row>
    <row r="79" customFormat="false" ht="15" hidden="false" customHeight="false" outlineLevel="0" collapsed="false">
      <c r="A79" s="4" t="s">
        <v>215</v>
      </c>
      <c r="B79" s="5" t="s">
        <v>216</v>
      </c>
      <c r="C79" s="5" t="s">
        <v>91</v>
      </c>
      <c r="D79" s="5" t="s">
        <v>28</v>
      </c>
      <c r="E79" s="5" t="s">
        <v>44</v>
      </c>
      <c r="F79" s="5" t="s">
        <v>45</v>
      </c>
      <c r="G79" s="5" t="s">
        <v>46</v>
      </c>
      <c r="H79" s="5" t="s">
        <v>17</v>
      </c>
    </row>
    <row r="80" customFormat="false" ht="15" hidden="false" customHeight="false" outlineLevel="0" collapsed="false">
      <c r="A80" s="4" t="s">
        <v>217</v>
      </c>
      <c r="B80" s="5" t="s">
        <v>218</v>
      </c>
      <c r="C80" s="5" t="s">
        <v>94</v>
      </c>
      <c r="D80" s="5" t="s">
        <v>35</v>
      </c>
      <c r="E80" s="5" t="s">
        <v>52</v>
      </c>
      <c r="F80" s="5" t="s">
        <v>15</v>
      </c>
      <c r="G80" s="5" t="s">
        <v>53</v>
      </c>
      <c r="H80" s="5" t="s">
        <v>39</v>
      </c>
    </row>
    <row r="81" customFormat="false" ht="15" hidden="false" customHeight="false" outlineLevel="0" collapsed="false">
      <c r="A81" s="4" t="s">
        <v>219</v>
      </c>
      <c r="B81" s="5" t="s">
        <v>220</v>
      </c>
      <c r="C81" s="5" t="s">
        <v>97</v>
      </c>
      <c r="D81" s="5" t="s">
        <v>43</v>
      </c>
      <c r="E81" s="5" t="s">
        <v>59</v>
      </c>
      <c r="F81" s="5" t="s">
        <v>23</v>
      </c>
      <c r="G81" s="5" t="s">
        <v>60</v>
      </c>
      <c r="H81" s="5" t="s">
        <v>47</v>
      </c>
    </row>
    <row r="82" customFormat="false" ht="15" hidden="false" customHeight="false" outlineLevel="0" collapsed="false">
      <c r="A82" s="4" t="s">
        <v>221</v>
      </c>
      <c r="B82" s="5" t="s">
        <v>222</v>
      </c>
      <c r="C82" s="5" t="s">
        <v>100</v>
      </c>
      <c r="D82" s="5" t="s">
        <v>51</v>
      </c>
      <c r="E82" s="5" t="s">
        <v>65</v>
      </c>
      <c r="F82" s="5" t="s">
        <v>30</v>
      </c>
      <c r="G82" s="5" t="s">
        <v>66</v>
      </c>
      <c r="H82" s="5" t="s">
        <v>54</v>
      </c>
    </row>
    <row r="83" customFormat="false" ht="15" hidden="false" customHeight="false" outlineLevel="0" collapsed="false">
      <c r="A83" s="4" t="s">
        <v>223</v>
      </c>
      <c r="B83" s="5" t="s">
        <v>224</v>
      </c>
      <c r="C83" s="5" t="s">
        <v>103</v>
      </c>
      <c r="D83" s="5" t="s">
        <v>58</v>
      </c>
      <c r="E83" s="5" t="s">
        <v>70</v>
      </c>
      <c r="F83" s="5" t="s">
        <v>37</v>
      </c>
      <c r="G83" s="5" t="s">
        <v>71</v>
      </c>
      <c r="H83" s="5" t="s">
        <v>17</v>
      </c>
    </row>
    <row r="84" customFormat="false" ht="15" hidden="false" customHeight="false" outlineLevel="0" collapsed="false">
      <c r="A84" s="4" t="s">
        <v>225</v>
      </c>
      <c r="B84" s="5" t="s">
        <v>226</v>
      </c>
      <c r="C84" s="5" t="s">
        <v>106</v>
      </c>
      <c r="D84" s="5" t="s">
        <v>64</v>
      </c>
      <c r="E84" s="5" t="s">
        <v>75</v>
      </c>
      <c r="F84" s="5" t="s">
        <v>45</v>
      </c>
      <c r="G84" s="5" t="s">
        <v>76</v>
      </c>
      <c r="H84" s="5" t="s">
        <v>17</v>
      </c>
    </row>
    <row r="85" customFormat="false" ht="15" hidden="false" customHeight="false" outlineLevel="0" collapsed="false">
      <c r="A85" s="4" t="s">
        <v>227</v>
      </c>
      <c r="B85" s="5" t="s">
        <v>228</v>
      </c>
      <c r="C85" s="5" t="s">
        <v>12</v>
      </c>
      <c r="D85" s="5" t="s">
        <v>13</v>
      </c>
      <c r="E85" s="5" t="s">
        <v>14</v>
      </c>
      <c r="F85" s="5" t="s">
        <v>15</v>
      </c>
      <c r="G85" s="5" t="s">
        <v>16</v>
      </c>
      <c r="H85" s="5" t="s">
        <v>17</v>
      </c>
    </row>
    <row r="86" customFormat="false" ht="15" hidden="false" customHeight="false" outlineLevel="0" collapsed="false">
      <c r="A86" s="4" t="s">
        <v>229</v>
      </c>
      <c r="B86" s="5" t="s">
        <v>230</v>
      </c>
      <c r="C86" s="5" t="s">
        <v>20</v>
      </c>
      <c r="D86" s="5" t="s">
        <v>21</v>
      </c>
      <c r="E86" s="5" t="s">
        <v>22</v>
      </c>
      <c r="F86" s="5" t="s">
        <v>23</v>
      </c>
      <c r="G86" s="5" t="s">
        <v>24</v>
      </c>
      <c r="H86" s="5" t="s">
        <v>39</v>
      </c>
    </row>
    <row r="87" customFormat="false" ht="15" hidden="false" customHeight="false" outlineLevel="0" collapsed="false">
      <c r="A87" s="4" t="s">
        <v>231</v>
      </c>
      <c r="B87" s="5" t="s">
        <v>232</v>
      </c>
      <c r="C87" s="5" t="s">
        <v>27</v>
      </c>
      <c r="D87" s="5" t="s">
        <v>28</v>
      </c>
      <c r="E87" s="5" t="s">
        <v>29</v>
      </c>
      <c r="F87" s="5" t="s">
        <v>30</v>
      </c>
      <c r="G87" s="5" t="s">
        <v>31</v>
      </c>
      <c r="H87" s="5" t="s">
        <v>47</v>
      </c>
    </row>
    <row r="88" customFormat="false" ht="15" hidden="false" customHeight="false" outlineLevel="0" collapsed="false">
      <c r="A88" s="4" t="s">
        <v>233</v>
      </c>
      <c r="B88" s="5" t="s">
        <v>234</v>
      </c>
      <c r="C88" s="5" t="s">
        <v>34</v>
      </c>
      <c r="D88" s="5" t="s">
        <v>35</v>
      </c>
      <c r="E88" s="5" t="s">
        <v>36</v>
      </c>
      <c r="F88" s="5" t="s">
        <v>37</v>
      </c>
      <c r="G88" s="5" t="s">
        <v>38</v>
      </c>
      <c r="H88" s="5" t="s">
        <v>54</v>
      </c>
    </row>
    <row r="89" customFormat="false" ht="15" hidden="false" customHeight="false" outlineLevel="0" collapsed="false">
      <c r="A89" s="4" t="s">
        <v>235</v>
      </c>
      <c r="B89" s="5" t="s">
        <v>236</v>
      </c>
      <c r="C89" s="5" t="s">
        <v>42</v>
      </c>
      <c r="D89" s="5" t="s">
        <v>43</v>
      </c>
      <c r="E89" s="5" t="s">
        <v>44</v>
      </c>
      <c r="F89" s="5" t="s">
        <v>45</v>
      </c>
      <c r="G89" s="5" t="s">
        <v>46</v>
      </c>
      <c r="H89" s="5" t="s">
        <v>17</v>
      </c>
    </row>
    <row r="90" customFormat="false" ht="15" hidden="false" customHeight="false" outlineLevel="0" collapsed="false">
      <c r="A90" s="4" t="s">
        <v>237</v>
      </c>
      <c r="B90" s="5" t="s">
        <v>238</v>
      </c>
      <c r="C90" s="5" t="s">
        <v>50</v>
      </c>
      <c r="D90" s="5" t="s">
        <v>51</v>
      </c>
      <c r="E90" s="5" t="s">
        <v>52</v>
      </c>
      <c r="F90" s="5" t="s">
        <v>15</v>
      </c>
      <c r="G90" s="5" t="s">
        <v>53</v>
      </c>
      <c r="H90" s="5" t="s">
        <v>17</v>
      </c>
    </row>
    <row r="91" customFormat="false" ht="15" hidden="false" customHeight="false" outlineLevel="0" collapsed="false">
      <c r="A91" s="4" t="s">
        <v>239</v>
      </c>
      <c r="B91" s="5" t="s">
        <v>240</v>
      </c>
      <c r="C91" s="5" t="s">
        <v>57</v>
      </c>
      <c r="D91" s="5" t="s">
        <v>58</v>
      </c>
      <c r="E91" s="5" t="s">
        <v>59</v>
      </c>
      <c r="F91" s="5" t="s">
        <v>23</v>
      </c>
      <c r="G91" s="5" t="s">
        <v>60</v>
      </c>
      <c r="H91" s="5" t="s">
        <v>17</v>
      </c>
    </row>
    <row r="92" customFormat="false" ht="15" hidden="false" customHeight="false" outlineLevel="0" collapsed="false">
      <c r="A92" s="4" t="s">
        <v>241</v>
      </c>
      <c r="B92" s="5" t="s">
        <v>242</v>
      </c>
      <c r="C92" s="5" t="s">
        <v>63</v>
      </c>
      <c r="D92" s="5" t="s">
        <v>64</v>
      </c>
      <c r="E92" s="5" t="s">
        <v>65</v>
      </c>
      <c r="F92" s="5" t="s">
        <v>30</v>
      </c>
      <c r="G92" s="5" t="s">
        <v>66</v>
      </c>
      <c r="H92" s="5" t="s">
        <v>39</v>
      </c>
    </row>
    <row r="93" customFormat="false" ht="15" hidden="false" customHeight="false" outlineLevel="0" collapsed="false">
      <c r="A93" s="4" t="s">
        <v>243</v>
      </c>
      <c r="B93" s="5" t="s">
        <v>244</v>
      </c>
      <c r="C93" s="5" t="s">
        <v>69</v>
      </c>
      <c r="D93" s="5" t="s">
        <v>13</v>
      </c>
      <c r="E93" s="5" t="s">
        <v>70</v>
      </c>
      <c r="F93" s="5" t="s">
        <v>37</v>
      </c>
      <c r="G93" s="5" t="s">
        <v>71</v>
      </c>
      <c r="H93" s="5" t="s">
        <v>47</v>
      </c>
    </row>
    <row r="94" customFormat="false" ht="15" hidden="false" customHeight="false" outlineLevel="0" collapsed="false">
      <c r="A94" s="4" t="s">
        <v>245</v>
      </c>
      <c r="B94" s="5" t="s">
        <v>246</v>
      </c>
      <c r="C94" s="5" t="s">
        <v>74</v>
      </c>
      <c r="D94" s="5" t="s">
        <v>21</v>
      </c>
      <c r="E94" s="5" t="s">
        <v>75</v>
      </c>
      <c r="F94" s="5" t="s">
        <v>45</v>
      </c>
      <c r="G94" s="5" t="s">
        <v>76</v>
      </c>
      <c r="H94" s="5" t="s">
        <v>54</v>
      </c>
    </row>
    <row r="95" customFormat="false" ht="15" hidden="false" customHeight="false" outlineLevel="0" collapsed="false">
      <c r="A95" s="4" t="s">
        <v>247</v>
      </c>
      <c r="B95" s="5" t="s">
        <v>248</v>
      </c>
      <c r="C95" s="5" t="s">
        <v>79</v>
      </c>
      <c r="D95" s="5" t="s">
        <v>28</v>
      </c>
      <c r="E95" s="5" t="s">
        <v>14</v>
      </c>
      <c r="F95" s="5" t="s">
        <v>15</v>
      </c>
      <c r="G95" s="5" t="s">
        <v>16</v>
      </c>
      <c r="H95" s="5" t="s">
        <v>17</v>
      </c>
    </row>
    <row r="96" customFormat="false" ht="15" hidden="false" customHeight="false" outlineLevel="0" collapsed="false">
      <c r="A96" s="4" t="s">
        <v>249</v>
      </c>
      <c r="B96" s="5" t="s">
        <v>250</v>
      </c>
      <c r="C96" s="5" t="s">
        <v>82</v>
      </c>
      <c r="D96" s="5" t="s">
        <v>35</v>
      </c>
      <c r="E96" s="5" t="s">
        <v>22</v>
      </c>
      <c r="F96" s="5" t="s">
        <v>23</v>
      </c>
      <c r="G96" s="5" t="s">
        <v>24</v>
      </c>
      <c r="H96" s="5" t="s">
        <v>17</v>
      </c>
    </row>
    <row r="97" customFormat="false" ht="15" hidden="false" customHeight="false" outlineLevel="0" collapsed="false">
      <c r="A97" s="4" t="s">
        <v>251</v>
      </c>
      <c r="B97" s="5" t="s">
        <v>252</v>
      </c>
      <c r="C97" s="5" t="s">
        <v>85</v>
      </c>
      <c r="D97" s="5" t="s">
        <v>43</v>
      </c>
      <c r="E97" s="5" t="s">
        <v>29</v>
      </c>
      <c r="F97" s="5" t="s">
        <v>30</v>
      </c>
      <c r="G97" s="5" t="s">
        <v>31</v>
      </c>
      <c r="H97" s="5" t="s">
        <v>17</v>
      </c>
    </row>
    <row r="98" customFormat="false" ht="15" hidden="false" customHeight="false" outlineLevel="0" collapsed="false">
      <c r="A98" s="4" t="s">
        <v>253</v>
      </c>
      <c r="B98" s="5" t="s">
        <v>254</v>
      </c>
      <c r="C98" s="5" t="s">
        <v>88</v>
      </c>
      <c r="D98" s="5" t="s">
        <v>51</v>
      </c>
      <c r="E98" s="5" t="s">
        <v>36</v>
      </c>
      <c r="F98" s="5" t="s">
        <v>37</v>
      </c>
      <c r="G98" s="5" t="s">
        <v>38</v>
      </c>
      <c r="H98" s="5" t="s">
        <v>39</v>
      </c>
    </row>
    <row r="99" customFormat="false" ht="15" hidden="false" customHeight="false" outlineLevel="0" collapsed="false">
      <c r="A99" s="4" t="s">
        <v>255</v>
      </c>
      <c r="B99" s="5" t="s">
        <v>256</v>
      </c>
      <c r="C99" s="5" t="s">
        <v>91</v>
      </c>
      <c r="D99" s="5" t="s">
        <v>58</v>
      </c>
      <c r="E99" s="5" t="s">
        <v>44</v>
      </c>
      <c r="F99" s="5" t="s">
        <v>45</v>
      </c>
      <c r="G99" s="5" t="s">
        <v>46</v>
      </c>
      <c r="H99" s="5" t="s">
        <v>47</v>
      </c>
    </row>
    <row r="100" customFormat="false" ht="15" hidden="false" customHeight="false" outlineLevel="0" collapsed="false">
      <c r="A100" s="4" t="s">
        <v>257</v>
      </c>
      <c r="B100" s="5" t="s">
        <v>258</v>
      </c>
      <c r="C100" s="5" t="s">
        <v>94</v>
      </c>
      <c r="D100" s="5" t="s">
        <v>64</v>
      </c>
      <c r="E100" s="5" t="s">
        <v>52</v>
      </c>
      <c r="F100" s="5" t="s">
        <v>15</v>
      </c>
      <c r="G100" s="5" t="s">
        <v>53</v>
      </c>
      <c r="H100" s="5" t="s">
        <v>54</v>
      </c>
    </row>
    <row r="101" customFormat="false" ht="15" hidden="false" customHeight="false" outlineLevel="0" collapsed="false">
      <c r="A101" s="4" t="s">
        <v>259</v>
      </c>
      <c r="B101" s="5" t="s">
        <v>260</v>
      </c>
      <c r="C101" s="5" t="s">
        <v>97</v>
      </c>
      <c r="D101" s="5" t="s">
        <v>13</v>
      </c>
      <c r="E101" s="5" t="s">
        <v>59</v>
      </c>
      <c r="F101" s="5" t="s">
        <v>23</v>
      </c>
      <c r="G101" s="5" t="s">
        <v>60</v>
      </c>
      <c r="H101" s="5" t="s">
        <v>17</v>
      </c>
    </row>
    <row r="102" customFormat="false" ht="15" hidden="false" customHeight="false" outlineLevel="0" collapsed="false">
      <c r="A102" s="4" t="s">
        <v>261</v>
      </c>
      <c r="B102" s="5" t="s">
        <v>262</v>
      </c>
      <c r="C102" s="5" t="s">
        <v>100</v>
      </c>
      <c r="D102" s="5" t="s">
        <v>21</v>
      </c>
      <c r="E102" s="5" t="s">
        <v>65</v>
      </c>
      <c r="F102" s="5" t="s">
        <v>30</v>
      </c>
      <c r="G102" s="5" t="s">
        <v>66</v>
      </c>
      <c r="H102" s="5" t="s">
        <v>17</v>
      </c>
    </row>
    <row r="103" customFormat="false" ht="15" hidden="false" customHeight="false" outlineLevel="0" collapsed="false">
      <c r="A103" s="4" t="s">
        <v>263</v>
      </c>
      <c r="B103" s="5" t="s">
        <v>264</v>
      </c>
      <c r="C103" s="5" t="s">
        <v>103</v>
      </c>
      <c r="D103" s="5" t="s">
        <v>28</v>
      </c>
      <c r="E103" s="5" t="s">
        <v>70</v>
      </c>
      <c r="F103" s="5" t="s">
        <v>37</v>
      </c>
      <c r="G103" s="5" t="s">
        <v>71</v>
      </c>
      <c r="H103" s="5" t="s">
        <v>17</v>
      </c>
    </row>
    <row r="104" customFormat="false" ht="15" hidden="false" customHeight="false" outlineLevel="0" collapsed="false">
      <c r="A104" s="4" t="s">
        <v>265</v>
      </c>
      <c r="B104" s="5" t="s">
        <v>266</v>
      </c>
      <c r="C104" s="5" t="s">
        <v>106</v>
      </c>
      <c r="D104" s="5" t="s">
        <v>35</v>
      </c>
      <c r="E104" s="5" t="s">
        <v>75</v>
      </c>
      <c r="F104" s="5" t="s">
        <v>45</v>
      </c>
      <c r="G104" s="5" t="s">
        <v>76</v>
      </c>
      <c r="H104" s="5" t="s">
        <v>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8"/>
    <col collapsed="false" customWidth="true" hidden="false" outlineLevel="0" max="3" min="3" style="0" width="24"/>
    <col collapsed="false" customWidth="true" hidden="false" outlineLevel="0" max="5" min="4" style="0" width="18"/>
    <col collapsed="false" customWidth="true" hidden="false" outlineLevel="0" max="6" min="6" style="0" width="15"/>
  </cols>
  <sheetData>
    <row r="1" customFormat="false" ht="17.35" hidden="false" customHeight="false" outlineLevel="0" collapsed="false">
      <c r="A1" s="1" t="s">
        <v>267</v>
      </c>
    </row>
    <row r="2" customFormat="false" ht="15" hidden="false" customHeight="false" outlineLevel="0" collapsed="false">
      <c r="A2" s="2" t="s">
        <v>268</v>
      </c>
    </row>
    <row r="4" customFormat="false" ht="15" hidden="false" customHeight="false" outlineLevel="0" collapsed="false">
      <c r="A4" s="3" t="s">
        <v>2</v>
      </c>
      <c r="B4" s="3" t="s">
        <v>269</v>
      </c>
      <c r="C4" s="3" t="s">
        <v>270</v>
      </c>
      <c r="D4" s="3" t="s">
        <v>271</v>
      </c>
      <c r="E4" s="3" t="s">
        <v>272</v>
      </c>
      <c r="F4" s="3" t="s">
        <v>273</v>
      </c>
    </row>
    <row r="5" customFormat="false" ht="15" hidden="false" customHeight="false" outlineLevel="0" collapsed="false">
      <c r="A5" s="4" t="s">
        <v>10</v>
      </c>
      <c r="B5" s="5" t="n">
        <v>81</v>
      </c>
      <c r="C5" s="5" t="n">
        <v>53</v>
      </c>
      <c r="D5" s="5" t="n">
        <f aca="false">B5-C5</f>
        <v>28</v>
      </c>
      <c r="E5" s="6" t="n">
        <f aca="false">C5/B5</f>
        <v>0.654320987654321</v>
      </c>
      <c r="F5" s="5" t="str">
        <f aca="false">IF(E5&gt;=0.2,"Pass","Review")</f>
        <v>Pass</v>
      </c>
    </row>
    <row r="6" customFormat="false" ht="15" hidden="false" customHeight="false" outlineLevel="0" collapsed="false">
      <c r="A6" s="4" t="s">
        <v>18</v>
      </c>
      <c r="B6" s="5" t="n">
        <v>55</v>
      </c>
      <c r="C6" s="5" t="n">
        <v>43</v>
      </c>
      <c r="D6" s="5" t="n">
        <f aca="false">B6-C6</f>
        <v>12</v>
      </c>
      <c r="E6" s="6" t="n">
        <f aca="false">C6/B6</f>
        <v>0.781818181818182</v>
      </c>
      <c r="F6" s="5" t="str">
        <f aca="false">IF(E6&gt;=0.2,"Pass","Review")</f>
        <v>Pass</v>
      </c>
    </row>
    <row r="7" customFormat="false" ht="15" hidden="false" customHeight="false" outlineLevel="0" collapsed="false">
      <c r="A7" s="4" t="s">
        <v>25</v>
      </c>
      <c r="B7" s="5" t="n">
        <v>52</v>
      </c>
      <c r="C7" s="5" t="n">
        <v>19</v>
      </c>
      <c r="D7" s="5" t="n">
        <f aca="false">B7-C7</f>
        <v>33</v>
      </c>
      <c r="E7" s="6" t="n">
        <f aca="false">C7/B7</f>
        <v>0.365384615384615</v>
      </c>
      <c r="F7" s="5" t="str">
        <f aca="false">IF(E7&gt;=0.2,"Pass","Review")</f>
        <v>Pass</v>
      </c>
    </row>
    <row r="8" customFormat="false" ht="15" hidden="false" customHeight="false" outlineLevel="0" collapsed="false">
      <c r="A8" s="4" t="s">
        <v>32</v>
      </c>
      <c r="B8" s="5" t="n">
        <v>61</v>
      </c>
      <c r="C8" s="5" t="n">
        <v>13</v>
      </c>
      <c r="D8" s="5" t="n">
        <f aca="false">B8-C8</f>
        <v>48</v>
      </c>
      <c r="E8" s="6" t="n">
        <f aca="false">C8/B8</f>
        <v>0.213114754098361</v>
      </c>
      <c r="F8" s="5" t="str">
        <f aca="false">IF(E8&gt;=0.2,"Pass","Review")</f>
        <v>Pass</v>
      </c>
    </row>
    <row r="9" customFormat="false" ht="15" hidden="false" customHeight="false" outlineLevel="0" collapsed="false">
      <c r="A9" s="4" t="s">
        <v>40</v>
      </c>
      <c r="B9" s="5" t="n">
        <v>41</v>
      </c>
      <c r="C9" s="5" t="n">
        <v>21</v>
      </c>
      <c r="D9" s="5" t="n">
        <f aca="false">B9-C9</f>
        <v>20</v>
      </c>
      <c r="E9" s="6" t="n">
        <f aca="false">C9/B9</f>
        <v>0.51219512195122</v>
      </c>
      <c r="F9" s="5" t="str">
        <f aca="false">IF(E9&gt;=0.2,"Pass","Review")</f>
        <v>Pass</v>
      </c>
    </row>
    <row r="10" customFormat="false" ht="15" hidden="false" customHeight="false" outlineLevel="0" collapsed="false">
      <c r="A10" s="4" t="s">
        <v>48</v>
      </c>
      <c r="B10" s="5" t="n">
        <v>79</v>
      </c>
      <c r="C10" s="5" t="n">
        <v>72</v>
      </c>
      <c r="D10" s="5" t="n">
        <f aca="false">B10-C10</f>
        <v>7</v>
      </c>
      <c r="E10" s="6" t="n">
        <f aca="false">C10/B10</f>
        <v>0.911392405063291</v>
      </c>
      <c r="F10" s="5" t="str">
        <f aca="false">IF(E10&gt;=0.2,"Pass","Review")</f>
        <v>Pass</v>
      </c>
    </row>
    <row r="11" customFormat="false" ht="15" hidden="false" customHeight="false" outlineLevel="0" collapsed="false">
      <c r="A11" s="4" t="s">
        <v>55</v>
      </c>
      <c r="B11" s="5" t="n">
        <v>117</v>
      </c>
      <c r="C11" s="5" t="n">
        <v>94</v>
      </c>
      <c r="D11" s="5" t="n">
        <f aca="false">B11-C11</f>
        <v>23</v>
      </c>
      <c r="E11" s="6" t="n">
        <f aca="false">C11/B11</f>
        <v>0.803418803418804</v>
      </c>
      <c r="F11" s="5" t="str">
        <f aca="false">IF(E11&gt;=0.2,"Pass","Review")</f>
        <v>Pass</v>
      </c>
    </row>
    <row r="12" customFormat="false" ht="15" hidden="false" customHeight="false" outlineLevel="0" collapsed="false">
      <c r="A12" s="4" t="s">
        <v>61</v>
      </c>
      <c r="B12" s="5" t="n">
        <v>98</v>
      </c>
      <c r="C12" s="5" t="n">
        <v>16</v>
      </c>
      <c r="D12" s="5" t="n">
        <f aca="false">B12-C12</f>
        <v>82</v>
      </c>
      <c r="E12" s="6" t="n">
        <f aca="false">C12/B12</f>
        <v>0.163265306122449</v>
      </c>
      <c r="F12" s="5" t="str">
        <f aca="false">IF(E12&gt;=0.2,"Pass","Review")</f>
        <v>Review</v>
      </c>
    </row>
    <row r="13" customFormat="false" ht="15" hidden="false" customHeight="false" outlineLevel="0" collapsed="false">
      <c r="A13" s="4" t="s">
        <v>67</v>
      </c>
      <c r="B13" s="5" t="n">
        <v>109</v>
      </c>
      <c r="C13" s="5" t="n">
        <v>67</v>
      </c>
      <c r="D13" s="5" t="n">
        <f aca="false">B13-C13</f>
        <v>42</v>
      </c>
      <c r="E13" s="6" t="n">
        <f aca="false">C13/B13</f>
        <v>0.614678899082569</v>
      </c>
      <c r="F13" s="5" t="str">
        <f aca="false">IF(E13&gt;=0.2,"Pass","Review")</f>
        <v>Pass</v>
      </c>
    </row>
    <row r="14" customFormat="false" ht="15" hidden="false" customHeight="false" outlineLevel="0" collapsed="false">
      <c r="A14" s="4" t="s">
        <v>72</v>
      </c>
      <c r="B14" s="5" t="n">
        <v>55</v>
      </c>
      <c r="C14" s="5" t="n">
        <v>31</v>
      </c>
      <c r="D14" s="5" t="n">
        <f aca="false">B14-C14</f>
        <v>24</v>
      </c>
      <c r="E14" s="6" t="n">
        <f aca="false">C14/B14</f>
        <v>0.563636363636364</v>
      </c>
      <c r="F14" s="5" t="str">
        <f aca="false">IF(E14&gt;=0.2,"Pass","Review")</f>
        <v>Pass</v>
      </c>
    </row>
    <row r="15" customFormat="false" ht="15" hidden="false" customHeight="false" outlineLevel="0" collapsed="false">
      <c r="A15" s="4" t="s">
        <v>77</v>
      </c>
      <c r="B15" s="5" t="n">
        <v>108</v>
      </c>
      <c r="C15" s="5" t="n">
        <v>80</v>
      </c>
      <c r="D15" s="5" t="n">
        <f aca="false">B15-C15</f>
        <v>28</v>
      </c>
      <c r="E15" s="6" t="n">
        <f aca="false">C15/B15</f>
        <v>0.740740740740741</v>
      </c>
      <c r="F15" s="5" t="str">
        <f aca="false">IF(E15&gt;=0.2,"Pass","Review")</f>
        <v>Pass</v>
      </c>
    </row>
    <row r="16" customFormat="false" ht="15" hidden="false" customHeight="false" outlineLevel="0" collapsed="false">
      <c r="A16" s="4" t="s">
        <v>80</v>
      </c>
      <c r="B16" s="5" t="n">
        <v>57</v>
      </c>
      <c r="C16" s="5" t="n">
        <v>55</v>
      </c>
      <c r="D16" s="5" t="n">
        <f aca="false">B16-C16</f>
        <v>2</v>
      </c>
      <c r="E16" s="6" t="n">
        <f aca="false">C16/B16</f>
        <v>0.964912280701754</v>
      </c>
      <c r="F16" s="5" t="str">
        <f aca="false">IF(E16&gt;=0.2,"Pass","Review")</f>
        <v>Pass</v>
      </c>
    </row>
    <row r="17" customFormat="false" ht="15" hidden="false" customHeight="false" outlineLevel="0" collapsed="false">
      <c r="A17" s="4" t="s">
        <v>83</v>
      </c>
      <c r="B17" s="5" t="n">
        <v>77</v>
      </c>
      <c r="C17" s="5" t="n">
        <v>54</v>
      </c>
      <c r="D17" s="5" t="n">
        <f aca="false">B17-C17</f>
        <v>23</v>
      </c>
      <c r="E17" s="6" t="n">
        <f aca="false">C17/B17</f>
        <v>0.701298701298701</v>
      </c>
      <c r="F17" s="5" t="str">
        <f aca="false">IF(E17&gt;=0.2,"Pass","Review")</f>
        <v>Pass</v>
      </c>
    </row>
    <row r="18" customFormat="false" ht="15" hidden="false" customHeight="false" outlineLevel="0" collapsed="false">
      <c r="A18" s="4" t="s">
        <v>86</v>
      </c>
      <c r="B18" s="5" t="n">
        <v>117</v>
      </c>
      <c r="C18" s="5" t="n">
        <v>32</v>
      </c>
      <c r="D18" s="5" t="n">
        <f aca="false">B18-C18</f>
        <v>85</v>
      </c>
      <c r="E18" s="6" t="n">
        <f aca="false">C18/B18</f>
        <v>0.273504273504274</v>
      </c>
      <c r="F18" s="5" t="str">
        <f aca="false">IF(E18&gt;=0.2,"Pass","Review")</f>
        <v>Pass</v>
      </c>
    </row>
    <row r="19" customFormat="false" ht="15" hidden="false" customHeight="false" outlineLevel="0" collapsed="false">
      <c r="A19" s="4" t="s">
        <v>89</v>
      </c>
      <c r="B19" s="5" t="n">
        <v>49</v>
      </c>
      <c r="C19" s="5" t="n">
        <v>34</v>
      </c>
      <c r="D19" s="5" t="n">
        <f aca="false">B19-C19</f>
        <v>15</v>
      </c>
      <c r="E19" s="6" t="n">
        <f aca="false">C19/B19</f>
        <v>0.693877551020408</v>
      </c>
      <c r="F19" s="5" t="str">
        <f aca="false">IF(E19&gt;=0.2,"Pass","Review")</f>
        <v>Pass</v>
      </c>
    </row>
    <row r="20" customFormat="false" ht="15" hidden="false" customHeight="false" outlineLevel="0" collapsed="false">
      <c r="A20" s="4" t="s">
        <v>92</v>
      </c>
      <c r="B20" s="5" t="n">
        <v>114</v>
      </c>
      <c r="C20" s="5" t="n">
        <v>27</v>
      </c>
      <c r="D20" s="5" t="n">
        <f aca="false">B20-C20</f>
        <v>87</v>
      </c>
      <c r="E20" s="6" t="n">
        <f aca="false">C20/B20</f>
        <v>0.236842105263158</v>
      </c>
      <c r="F20" s="5" t="str">
        <f aca="false">IF(E20&gt;=0.2,"Pass","Review")</f>
        <v>Pass</v>
      </c>
    </row>
    <row r="21" customFormat="false" ht="15" hidden="false" customHeight="false" outlineLevel="0" collapsed="false">
      <c r="A21" s="4" t="s">
        <v>95</v>
      </c>
      <c r="B21" s="5" t="n">
        <v>102</v>
      </c>
      <c r="C21" s="5" t="n">
        <v>48</v>
      </c>
      <c r="D21" s="5" t="n">
        <f aca="false">B21-C21</f>
        <v>54</v>
      </c>
      <c r="E21" s="6" t="n">
        <f aca="false">C21/B21</f>
        <v>0.470588235294118</v>
      </c>
      <c r="F21" s="5" t="str">
        <f aca="false">IF(E21&gt;=0.2,"Pass","Review")</f>
        <v>Pass</v>
      </c>
    </row>
    <row r="22" customFormat="false" ht="15" hidden="false" customHeight="false" outlineLevel="0" collapsed="false">
      <c r="A22" s="4" t="s">
        <v>98</v>
      </c>
      <c r="B22" s="5" t="n">
        <v>40</v>
      </c>
      <c r="C22" s="5" t="n">
        <v>38</v>
      </c>
      <c r="D22" s="5" t="n">
        <f aca="false">B22-C22</f>
        <v>2</v>
      </c>
      <c r="E22" s="6" t="n">
        <f aca="false">C22/B22</f>
        <v>0.95</v>
      </c>
      <c r="F22" s="5" t="str">
        <f aca="false">IF(E22&gt;=0.2,"Pass","Review")</f>
        <v>Pass</v>
      </c>
    </row>
    <row r="23" customFormat="false" ht="15" hidden="false" customHeight="false" outlineLevel="0" collapsed="false">
      <c r="A23" s="4" t="s">
        <v>101</v>
      </c>
      <c r="B23" s="5" t="n">
        <v>116</v>
      </c>
      <c r="C23" s="5" t="n">
        <v>104</v>
      </c>
      <c r="D23" s="5" t="n">
        <f aca="false">B23-C23</f>
        <v>12</v>
      </c>
      <c r="E23" s="6" t="n">
        <f aca="false">C23/B23</f>
        <v>0.896551724137931</v>
      </c>
      <c r="F23" s="5" t="str">
        <f aca="false">IF(E23&gt;=0.2,"Pass","Review")</f>
        <v>Pass</v>
      </c>
    </row>
    <row r="24" customFormat="false" ht="15" hidden="false" customHeight="false" outlineLevel="0" collapsed="false">
      <c r="A24" s="4" t="s">
        <v>104</v>
      </c>
      <c r="B24" s="5" t="n">
        <v>41</v>
      </c>
      <c r="C24" s="5" t="n">
        <v>35</v>
      </c>
      <c r="D24" s="5" t="n">
        <f aca="false">B24-C24</f>
        <v>6</v>
      </c>
      <c r="E24" s="6" t="n">
        <f aca="false">C24/B24</f>
        <v>0.853658536585366</v>
      </c>
      <c r="F24" s="5" t="str">
        <f aca="false">IF(E24&gt;=0.2,"Pass","Review")</f>
        <v>Pass</v>
      </c>
    </row>
    <row r="25" customFormat="false" ht="15" hidden="false" customHeight="false" outlineLevel="0" collapsed="false">
      <c r="A25" s="4" t="s">
        <v>107</v>
      </c>
      <c r="B25" s="5" t="n">
        <v>70</v>
      </c>
      <c r="C25" s="5" t="n">
        <v>56</v>
      </c>
      <c r="D25" s="5" t="n">
        <f aca="false">B25-C25</f>
        <v>14</v>
      </c>
      <c r="E25" s="6" t="n">
        <f aca="false">C25/B25</f>
        <v>0.8</v>
      </c>
      <c r="F25" s="5" t="str">
        <f aca="false">IF(E25&gt;=0.2,"Pass","Review")</f>
        <v>Pass</v>
      </c>
    </row>
    <row r="26" customFormat="false" ht="15" hidden="false" customHeight="false" outlineLevel="0" collapsed="false">
      <c r="A26" s="4" t="s">
        <v>109</v>
      </c>
      <c r="B26" s="5" t="n">
        <v>35</v>
      </c>
      <c r="C26" s="5" t="n">
        <v>13</v>
      </c>
      <c r="D26" s="5" t="n">
        <f aca="false">B26-C26</f>
        <v>22</v>
      </c>
      <c r="E26" s="6" t="n">
        <f aca="false">C26/B26</f>
        <v>0.371428571428571</v>
      </c>
      <c r="F26" s="5" t="str">
        <f aca="false">IF(E26&gt;=0.2,"Pass","Review")</f>
        <v>Pass</v>
      </c>
    </row>
    <row r="27" customFormat="false" ht="15" hidden="false" customHeight="false" outlineLevel="0" collapsed="false">
      <c r="A27" s="4" t="s">
        <v>111</v>
      </c>
      <c r="B27" s="5" t="n">
        <v>101</v>
      </c>
      <c r="C27" s="5" t="n">
        <v>5</v>
      </c>
      <c r="D27" s="5" t="n">
        <f aca="false">B27-C27</f>
        <v>96</v>
      </c>
      <c r="E27" s="6" t="n">
        <f aca="false">C27/B27</f>
        <v>0.0495049504950495</v>
      </c>
      <c r="F27" s="5" t="str">
        <f aca="false">IF(E27&gt;=0.2,"Pass","Review")</f>
        <v>Review</v>
      </c>
    </row>
    <row r="28" customFormat="false" ht="15" hidden="false" customHeight="false" outlineLevel="0" collapsed="false">
      <c r="A28" s="4" t="s">
        <v>113</v>
      </c>
      <c r="B28" s="5" t="n">
        <v>84</v>
      </c>
      <c r="C28" s="5" t="n">
        <v>31</v>
      </c>
      <c r="D28" s="5" t="n">
        <f aca="false">B28-C28</f>
        <v>53</v>
      </c>
      <c r="E28" s="6" t="n">
        <f aca="false">C28/B28</f>
        <v>0.369047619047619</v>
      </c>
      <c r="F28" s="5" t="str">
        <f aca="false">IF(E28&gt;=0.2,"Pass","Review")</f>
        <v>Pass</v>
      </c>
    </row>
    <row r="29" customFormat="false" ht="15" hidden="false" customHeight="false" outlineLevel="0" collapsed="false">
      <c r="A29" s="4" t="s">
        <v>115</v>
      </c>
      <c r="B29" s="5" t="n">
        <v>76</v>
      </c>
      <c r="C29" s="5" t="n">
        <v>73</v>
      </c>
      <c r="D29" s="5" t="n">
        <f aca="false">B29-C29</f>
        <v>3</v>
      </c>
      <c r="E29" s="6" t="n">
        <f aca="false">C29/B29</f>
        <v>0.960526315789474</v>
      </c>
      <c r="F29" s="5" t="str">
        <f aca="false">IF(E29&gt;=0.2,"Pass","Review")</f>
        <v>Pass</v>
      </c>
    </row>
    <row r="30" customFormat="false" ht="15" hidden="false" customHeight="false" outlineLevel="0" collapsed="false">
      <c r="A30" s="4" t="s">
        <v>117</v>
      </c>
      <c r="B30" s="5" t="n">
        <v>40</v>
      </c>
      <c r="C30" s="5" t="n">
        <v>34</v>
      </c>
      <c r="D30" s="5" t="n">
        <f aca="false">B30-C30</f>
        <v>6</v>
      </c>
      <c r="E30" s="6" t="n">
        <f aca="false">C30/B30</f>
        <v>0.85</v>
      </c>
      <c r="F30" s="5" t="str">
        <f aca="false">IF(E30&gt;=0.2,"Pass","Review")</f>
        <v>Pass</v>
      </c>
    </row>
    <row r="31" customFormat="false" ht="15" hidden="false" customHeight="false" outlineLevel="0" collapsed="false">
      <c r="A31" s="4" t="s">
        <v>119</v>
      </c>
      <c r="B31" s="5" t="n">
        <v>96</v>
      </c>
      <c r="C31" s="5" t="n">
        <v>30</v>
      </c>
      <c r="D31" s="5" t="n">
        <f aca="false">B31-C31</f>
        <v>66</v>
      </c>
      <c r="E31" s="6" t="n">
        <f aca="false">C31/B31</f>
        <v>0.3125</v>
      </c>
      <c r="F31" s="5" t="str">
        <f aca="false">IF(E31&gt;=0.2,"Pass","Review")</f>
        <v>Pass</v>
      </c>
    </row>
    <row r="32" customFormat="false" ht="15" hidden="false" customHeight="false" outlineLevel="0" collapsed="false">
      <c r="A32" s="4" t="s">
        <v>121</v>
      </c>
      <c r="B32" s="5" t="n">
        <v>107</v>
      </c>
      <c r="C32" s="5" t="n">
        <v>64</v>
      </c>
      <c r="D32" s="5" t="n">
        <f aca="false">B32-C32</f>
        <v>43</v>
      </c>
      <c r="E32" s="6" t="n">
        <f aca="false">C32/B32</f>
        <v>0.598130841121495</v>
      </c>
      <c r="F32" s="5" t="str">
        <f aca="false">IF(E32&gt;=0.2,"Pass","Review")</f>
        <v>Pass</v>
      </c>
    </row>
    <row r="33" customFormat="false" ht="15" hidden="false" customHeight="false" outlineLevel="0" collapsed="false">
      <c r="A33" s="4" t="s">
        <v>123</v>
      </c>
      <c r="B33" s="5" t="n">
        <v>36</v>
      </c>
      <c r="C33" s="5" t="n">
        <v>27</v>
      </c>
      <c r="D33" s="5" t="n">
        <f aca="false">B33-C33</f>
        <v>9</v>
      </c>
      <c r="E33" s="6" t="n">
        <f aca="false">C33/B33</f>
        <v>0.75</v>
      </c>
      <c r="F33" s="5" t="str">
        <f aca="false">IF(E33&gt;=0.2,"Pass","Review")</f>
        <v>Pass</v>
      </c>
    </row>
    <row r="34" customFormat="false" ht="15" hidden="false" customHeight="false" outlineLevel="0" collapsed="false">
      <c r="A34" s="4" t="s">
        <v>125</v>
      </c>
      <c r="B34" s="5" t="n">
        <v>46</v>
      </c>
      <c r="C34" s="5" t="n">
        <v>18</v>
      </c>
      <c r="D34" s="5" t="n">
        <f aca="false">B34-C34</f>
        <v>28</v>
      </c>
      <c r="E34" s="6" t="n">
        <f aca="false">C34/B34</f>
        <v>0.391304347826087</v>
      </c>
      <c r="F34" s="5" t="str">
        <f aca="false">IF(E34&gt;=0.2,"Pass","Review")</f>
        <v>Pass</v>
      </c>
    </row>
    <row r="35" customFormat="false" ht="15" hidden="false" customHeight="false" outlineLevel="0" collapsed="false">
      <c r="A35" s="4" t="s">
        <v>127</v>
      </c>
      <c r="B35" s="5" t="n">
        <v>50</v>
      </c>
      <c r="C35" s="5" t="n">
        <v>33</v>
      </c>
      <c r="D35" s="5" t="n">
        <f aca="false">B35-C35</f>
        <v>17</v>
      </c>
      <c r="E35" s="6" t="n">
        <f aca="false">C35/B35</f>
        <v>0.66</v>
      </c>
      <c r="F35" s="5" t="str">
        <f aca="false">IF(E35&gt;=0.2,"Pass","Review")</f>
        <v>Pass</v>
      </c>
    </row>
    <row r="36" customFormat="false" ht="15" hidden="false" customHeight="false" outlineLevel="0" collapsed="false">
      <c r="A36" s="4" t="s">
        <v>129</v>
      </c>
      <c r="B36" s="5" t="n">
        <v>106</v>
      </c>
      <c r="C36" s="5" t="n">
        <v>27</v>
      </c>
      <c r="D36" s="5" t="n">
        <f aca="false">B36-C36</f>
        <v>79</v>
      </c>
      <c r="E36" s="6" t="n">
        <f aca="false">C36/B36</f>
        <v>0.254716981132075</v>
      </c>
      <c r="F36" s="5" t="str">
        <f aca="false">IF(E36&gt;=0.2,"Pass","Review")</f>
        <v>Pass</v>
      </c>
    </row>
    <row r="37" customFormat="false" ht="15" hidden="false" customHeight="false" outlineLevel="0" collapsed="false">
      <c r="A37" s="4" t="s">
        <v>131</v>
      </c>
      <c r="B37" s="5" t="n">
        <v>94</v>
      </c>
      <c r="C37" s="5" t="n">
        <v>89</v>
      </c>
      <c r="D37" s="5" t="n">
        <f aca="false">B37-C37</f>
        <v>5</v>
      </c>
      <c r="E37" s="6" t="n">
        <f aca="false">C37/B37</f>
        <v>0.946808510638298</v>
      </c>
      <c r="F37" s="5" t="str">
        <f aca="false">IF(E37&gt;=0.2,"Pass","Review")</f>
        <v>Pass</v>
      </c>
    </row>
    <row r="38" customFormat="false" ht="15" hidden="false" customHeight="false" outlineLevel="0" collapsed="false">
      <c r="A38" s="4" t="s">
        <v>133</v>
      </c>
      <c r="B38" s="5" t="n">
        <v>52</v>
      </c>
      <c r="C38" s="5" t="n">
        <v>7</v>
      </c>
      <c r="D38" s="5" t="n">
        <f aca="false">B38-C38</f>
        <v>45</v>
      </c>
      <c r="E38" s="6" t="n">
        <f aca="false">C38/B38</f>
        <v>0.134615384615385</v>
      </c>
      <c r="F38" s="5" t="str">
        <f aca="false">IF(E38&gt;=0.2,"Pass","Review")</f>
        <v>Review</v>
      </c>
    </row>
    <row r="39" customFormat="false" ht="15" hidden="false" customHeight="false" outlineLevel="0" collapsed="false">
      <c r="A39" s="4" t="s">
        <v>135</v>
      </c>
      <c r="B39" s="5" t="n">
        <v>44</v>
      </c>
      <c r="C39" s="5" t="n">
        <v>6</v>
      </c>
      <c r="D39" s="5" t="n">
        <f aca="false">B39-C39</f>
        <v>38</v>
      </c>
      <c r="E39" s="6" t="n">
        <f aca="false">C39/B39</f>
        <v>0.136363636363636</v>
      </c>
      <c r="F39" s="5" t="str">
        <f aca="false">IF(E39&gt;=0.2,"Pass","Review")</f>
        <v>Review</v>
      </c>
    </row>
    <row r="40" customFormat="false" ht="15" hidden="false" customHeight="false" outlineLevel="0" collapsed="false">
      <c r="A40" s="4" t="s">
        <v>137</v>
      </c>
      <c r="B40" s="5" t="n">
        <v>51</v>
      </c>
      <c r="C40" s="5" t="n">
        <v>35</v>
      </c>
      <c r="D40" s="5" t="n">
        <f aca="false">B40-C40</f>
        <v>16</v>
      </c>
      <c r="E40" s="6" t="n">
        <f aca="false">C40/B40</f>
        <v>0.686274509803922</v>
      </c>
      <c r="F40" s="5" t="str">
        <f aca="false">IF(E40&gt;=0.2,"Pass","Review")</f>
        <v>Pass</v>
      </c>
    </row>
    <row r="41" customFormat="false" ht="15" hidden="false" customHeight="false" outlineLevel="0" collapsed="false">
      <c r="A41" s="4" t="s">
        <v>139</v>
      </c>
      <c r="B41" s="5" t="n">
        <v>117</v>
      </c>
      <c r="C41" s="5" t="n">
        <v>109</v>
      </c>
      <c r="D41" s="5" t="n">
        <f aca="false">B41-C41</f>
        <v>8</v>
      </c>
      <c r="E41" s="6" t="n">
        <f aca="false">C41/B41</f>
        <v>0.931623931623932</v>
      </c>
      <c r="F41" s="5" t="str">
        <f aca="false">IF(E41&gt;=0.2,"Pass","Review")</f>
        <v>Pass</v>
      </c>
    </row>
    <row r="42" customFormat="false" ht="15" hidden="false" customHeight="false" outlineLevel="0" collapsed="false">
      <c r="A42" s="4" t="s">
        <v>141</v>
      </c>
      <c r="B42" s="5" t="n">
        <v>83</v>
      </c>
      <c r="C42" s="5" t="n">
        <v>15</v>
      </c>
      <c r="D42" s="5" t="n">
        <f aca="false">B42-C42</f>
        <v>68</v>
      </c>
      <c r="E42" s="6" t="n">
        <f aca="false">C42/B42</f>
        <v>0.180722891566265</v>
      </c>
      <c r="F42" s="5" t="str">
        <f aca="false">IF(E42&gt;=0.2,"Pass","Review")</f>
        <v>Review</v>
      </c>
    </row>
    <row r="43" customFormat="false" ht="15" hidden="false" customHeight="false" outlineLevel="0" collapsed="false">
      <c r="A43" s="4" t="s">
        <v>143</v>
      </c>
      <c r="B43" s="5" t="n">
        <v>84</v>
      </c>
      <c r="C43" s="5" t="n">
        <v>16</v>
      </c>
      <c r="D43" s="5" t="n">
        <f aca="false">B43-C43</f>
        <v>68</v>
      </c>
      <c r="E43" s="6" t="n">
        <f aca="false">C43/B43</f>
        <v>0.19047619047619</v>
      </c>
      <c r="F43" s="5" t="str">
        <f aca="false">IF(E43&gt;=0.2,"Pass","Review")</f>
        <v>Review</v>
      </c>
    </row>
    <row r="44" customFormat="false" ht="15" hidden="false" customHeight="false" outlineLevel="0" collapsed="false">
      <c r="A44" s="4" t="s">
        <v>145</v>
      </c>
      <c r="B44" s="5" t="n">
        <v>48</v>
      </c>
      <c r="C44" s="5" t="n">
        <v>24</v>
      </c>
      <c r="D44" s="5" t="n">
        <f aca="false">B44-C44</f>
        <v>24</v>
      </c>
      <c r="E44" s="6" t="n">
        <f aca="false">C44/B44</f>
        <v>0.5</v>
      </c>
      <c r="F44" s="5" t="str">
        <f aca="false">IF(E44&gt;=0.2,"Pass","Review")</f>
        <v>Pass</v>
      </c>
    </row>
    <row r="45" customFormat="false" ht="15" hidden="false" customHeight="false" outlineLevel="0" collapsed="false">
      <c r="A45" s="4" t="s">
        <v>147</v>
      </c>
      <c r="B45" s="5" t="n">
        <v>109</v>
      </c>
      <c r="C45" s="5" t="n">
        <v>5</v>
      </c>
      <c r="D45" s="5" t="n">
        <f aca="false">B45-C45</f>
        <v>104</v>
      </c>
      <c r="E45" s="6" t="n">
        <f aca="false">C45/B45</f>
        <v>0.0458715596330275</v>
      </c>
      <c r="F45" s="5" t="str">
        <f aca="false">IF(E45&gt;=0.2,"Pass","Review")</f>
        <v>Review</v>
      </c>
    </row>
    <row r="46" customFormat="false" ht="15" hidden="false" customHeight="false" outlineLevel="0" collapsed="false">
      <c r="A46" s="4" t="s">
        <v>149</v>
      </c>
      <c r="B46" s="5" t="n">
        <v>78</v>
      </c>
      <c r="C46" s="5" t="n">
        <v>47</v>
      </c>
      <c r="D46" s="5" t="n">
        <f aca="false">B46-C46</f>
        <v>31</v>
      </c>
      <c r="E46" s="6" t="n">
        <f aca="false">C46/B46</f>
        <v>0.602564102564103</v>
      </c>
      <c r="F46" s="5" t="str">
        <f aca="false">IF(E46&gt;=0.2,"Pass","Review")</f>
        <v>Pass</v>
      </c>
    </row>
    <row r="47" customFormat="false" ht="15" hidden="false" customHeight="false" outlineLevel="0" collapsed="false">
      <c r="A47" s="4" t="s">
        <v>151</v>
      </c>
      <c r="B47" s="5" t="n">
        <v>47</v>
      </c>
      <c r="C47" s="5" t="n">
        <v>38</v>
      </c>
      <c r="D47" s="5" t="n">
        <f aca="false">B47-C47</f>
        <v>9</v>
      </c>
      <c r="E47" s="6" t="n">
        <f aca="false">C47/B47</f>
        <v>0.808510638297872</v>
      </c>
      <c r="F47" s="5" t="str">
        <f aca="false">IF(E47&gt;=0.2,"Pass","Review")</f>
        <v>Pass</v>
      </c>
    </row>
    <row r="48" customFormat="false" ht="15" hidden="false" customHeight="false" outlineLevel="0" collapsed="false">
      <c r="A48" s="4" t="s">
        <v>153</v>
      </c>
      <c r="B48" s="5" t="n">
        <v>81</v>
      </c>
      <c r="C48" s="5" t="n">
        <v>30</v>
      </c>
      <c r="D48" s="5" t="n">
        <f aca="false">B48-C48</f>
        <v>51</v>
      </c>
      <c r="E48" s="6" t="n">
        <f aca="false">C48/B48</f>
        <v>0.37037037037037</v>
      </c>
      <c r="F48" s="5" t="str">
        <f aca="false">IF(E48&gt;=0.2,"Pass","Review")</f>
        <v>Pass</v>
      </c>
    </row>
    <row r="49" customFormat="false" ht="15" hidden="false" customHeight="false" outlineLevel="0" collapsed="false">
      <c r="A49" s="4" t="s">
        <v>155</v>
      </c>
      <c r="B49" s="5" t="n">
        <v>37</v>
      </c>
      <c r="C49" s="5" t="n">
        <v>18</v>
      </c>
      <c r="D49" s="5" t="n">
        <f aca="false">B49-C49</f>
        <v>19</v>
      </c>
      <c r="E49" s="6" t="n">
        <f aca="false">C49/B49</f>
        <v>0.486486486486487</v>
      </c>
      <c r="F49" s="5" t="str">
        <f aca="false">IF(E49&gt;=0.2,"Pass","Review")</f>
        <v>Pass</v>
      </c>
    </row>
    <row r="50" customFormat="false" ht="15" hidden="false" customHeight="false" outlineLevel="0" collapsed="false">
      <c r="A50" s="4" t="s">
        <v>157</v>
      </c>
      <c r="B50" s="5" t="n">
        <v>86</v>
      </c>
      <c r="C50" s="5" t="n">
        <v>37</v>
      </c>
      <c r="D50" s="5" t="n">
        <f aca="false">B50-C50</f>
        <v>49</v>
      </c>
      <c r="E50" s="6" t="n">
        <f aca="false">C50/B50</f>
        <v>0.430232558139535</v>
      </c>
      <c r="F50" s="5" t="str">
        <f aca="false">IF(E50&gt;=0.2,"Pass","Review")</f>
        <v>Pass</v>
      </c>
    </row>
    <row r="51" customFormat="false" ht="15" hidden="false" customHeight="false" outlineLevel="0" collapsed="false">
      <c r="A51" s="4" t="s">
        <v>159</v>
      </c>
      <c r="B51" s="5" t="n">
        <v>99</v>
      </c>
      <c r="C51" s="5" t="n">
        <v>56</v>
      </c>
      <c r="D51" s="5" t="n">
        <f aca="false">B51-C51</f>
        <v>43</v>
      </c>
      <c r="E51" s="6" t="n">
        <f aca="false">C51/B51</f>
        <v>0.565656565656566</v>
      </c>
      <c r="F51" s="5" t="str">
        <f aca="false">IF(E51&gt;=0.2,"Pass","Review")</f>
        <v>Pass</v>
      </c>
    </row>
    <row r="52" customFormat="false" ht="15" hidden="false" customHeight="false" outlineLevel="0" collapsed="false">
      <c r="A52" s="4" t="s">
        <v>161</v>
      </c>
      <c r="B52" s="5" t="n">
        <v>46</v>
      </c>
      <c r="C52" s="5" t="n">
        <v>27</v>
      </c>
      <c r="D52" s="5" t="n">
        <f aca="false">B52-C52</f>
        <v>19</v>
      </c>
      <c r="E52" s="6" t="n">
        <f aca="false">C52/B52</f>
        <v>0.586956521739131</v>
      </c>
      <c r="F52" s="5" t="str">
        <f aca="false">IF(E52&gt;=0.2,"Pass","Review")</f>
        <v>Pass</v>
      </c>
    </row>
    <row r="53" customFormat="false" ht="15" hidden="false" customHeight="false" outlineLevel="0" collapsed="false">
      <c r="A53" s="4" t="s">
        <v>163</v>
      </c>
      <c r="B53" s="5" t="n">
        <v>118</v>
      </c>
      <c r="C53" s="5" t="n">
        <v>65</v>
      </c>
      <c r="D53" s="5" t="n">
        <f aca="false">B53-C53</f>
        <v>53</v>
      </c>
      <c r="E53" s="6" t="n">
        <f aca="false">C53/B53</f>
        <v>0.550847457627119</v>
      </c>
      <c r="F53" s="5" t="str">
        <f aca="false">IF(E53&gt;=0.2,"Pass","Review")</f>
        <v>Pass</v>
      </c>
    </row>
    <row r="54" customFormat="false" ht="15" hidden="false" customHeight="false" outlineLevel="0" collapsed="false">
      <c r="A54" s="4" t="s">
        <v>165</v>
      </c>
      <c r="B54" s="5" t="n">
        <v>37</v>
      </c>
      <c r="C54" s="5" t="n">
        <v>13</v>
      </c>
      <c r="D54" s="5" t="n">
        <f aca="false">B54-C54</f>
        <v>24</v>
      </c>
      <c r="E54" s="6" t="n">
        <f aca="false">C54/B54</f>
        <v>0.351351351351351</v>
      </c>
      <c r="F54" s="5" t="str">
        <f aca="false">IF(E54&gt;=0.2,"Pass","Review")</f>
        <v>Pass</v>
      </c>
    </row>
    <row r="55" customFormat="false" ht="15" hidden="false" customHeight="false" outlineLevel="0" collapsed="false">
      <c r="A55" s="4" t="s">
        <v>167</v>
      </c>
      <c r="B55" s="5" t="n">
        <v>106</v>
      </c>
      <c r="C55" s="5" t="n">
        <v>104</v>
      </c>
      <c r="D55" s="5" t="n">
        <f aca="false">B55-C55</f>
        <v>2</v>
      </c>
      <c r="E55" s="6" t="n">
        <f aca="false">C55/B55</f>
        <v>0.981132075471698</v>
      </c>
      <c r="F55" s="5" t="str">
        <f aca="false">IF(E55&gt;=0.2,"Pass","Review")</f>
        <v>Pass</v>
      </c>
    </row>
    <row r="56" customFormat="false" ht="15" hidden="false" customHeight="false" outlineLevel="0" collapsed="false">
      <c r="A56" s="4" t="s">
        <v>169</v>
      </c>
      <c r="B56" s="5" t="n">
        <v>49</v>
      </c>
      <c r="C56" s="5" t="n">
        <v>43</v>
      </c>
      <c r="D56" s="5" t="n">
        <f aca="false">B56-C56</f>
        <v>6</v>
      </c>
      <c r="E56" s="6" t="n">
        <f aca="false">C56/B56</f>
        <v>0.877551020408163</v>
      </c>
      <c r="F56" s="5" t="str">
        <f aca="false">IF(E56&gt;=0.2,"Pass","Review")</f>
        <v>Pass</v>
      </c>
    </row>
    <row r="57" customFormat="false" ht="15" hidden="false" customHeight="false" outlineLevel="0" collapsed="false">
      <c r="A57" s="4" t="s">
        <v>171</v>
      </c>
      <c r="B57" s="5" t="n">
        <v>82</v>
      </c>
      <c r="C57" s="5" t="n">
        <v>20</v>
      </c>
      <c r="D57" s="5" t="n">
        <f aca="false">B57-C57</f>
        <v>62</v>
      </c>
      <c r="E57" s="6" t="n">
        <f aca="false">C57/B57</f>
        <v>0.24390243902439</v>
      </c>
      <c r="F57" s="5" t="str">
        <f aca="false">IF(E57&gt;=0.2,"Pass","Review")</f>
        <v>Pass</v>
      </c>
    </row>
    <row r="58" customFormat="false" ht="15" hidden="false" customHeight="false" outlineLevel="0" collapsed="false">
      <c r="A58" s="4" t="s">
        <v>173</v>
      </c>
      <c r="B58" s="5" t="n">
        <v>42</v>
      </c>
      <c r="C58" s="5" t="n">
        <v>12</v>
      </c>
      <c r="D58" s="5" t="n">
        <f aca="false">B58-C58</f>
        <v>30</v>
      </c>
      <c r="E58" s="6" t="n">
        <f aca="false">C58/B58</f>
        <v>0.285714285714286</v>
      </c>
      <c r="F58" s="5" t="str">
        <f aca="false">IF(E58&gt;=0.2,"Pass","Review")</f>
        <v>Pass</v>
      </c>
    </row>
    <row r="59" customFormat="false" ht="15" hidden="false" customHeight="false" outlineLevel="0" collapsed="false">
      <c r="A59" s="4" t="s">
        <v>175</v>
      </c>
      <c r="B59" s="5" t="n">
        <v>48</v>
      </c>
      <c r="C59" s="5" t="n">
        <v>23</v>
      </c>
      <c r="D59" s="5" t="n">
        <f aca="false">B59-C59</f>
        <v>25</v>
      </c>
      <c r="E59" s="6" t="n">
        <f aca="false">C59/B59</f>
        <v>0.479166666666667</v>
      </c>
      <c r="F59" s="5" t="str">
        <f aca="false">IF(E59&gt;=0.2,"Pass","Review")</f>
        <v>Pass</v>
      </c>
    </row>
    <row r="60" customFormat="false" ht="15" hidden="false" customHeight="false" outlineLevel="0" collapsed="false">
      <c r="A60" s="4" t="s">
        <v>177</v>
      </c>
      <c r="B60" s="5" t="n">
        <v>52</v>
      </c>
      <c r="C60" s="5" t="n">
        <v>16</v>
      </c>
      <c r="D60" s="5" t="n">
        <f aca="false">B60-C60</f>
        <v>36</v>
      </c>
      <c r="E60" s="6" t="n">
        <f aca="false">C60/B60</f>
        <v>0.307692307692308</v>
      </c>
      <c r="F60" s="5" t="str">
        <f aca="false">IF(E60&gt;=0.2,"Pass","Review")</f>
        <v>Pass</v>
      </c>
    </row>
    <row r="61" customFormat="false" ht="15" hidden="false" customHeight="false" outlineLevel="0" collapsed="false">
      <c r="A61" s="4" t="s">
        <v>179</v>
      </c>
      <c r="B61" s="5" t="n">
        <v>82</v>
      </c>
      <c r="C61" s="5" t="n">
        <v>23</v>
      </c>
      <c r="D61" s="5" t="n">
        <f aca="false">B61-C61</f>
        <v>59</v>
      </c>
      <c r="E61" s="6" t="n">
        <f aca="false">C61/B61</f>
        <v>0.280487804878049</v>
      </c>
      <c r="F61" s="5" t="str">
        <f aca="false">IF(E61&gt;=0.2,"Pass","Review")</f>
        <v>Pass</v>
      </c>
    </row>
    <row r="62" customFormat="false" ht="15" hidden="false" customHeight="false" outlineLevel="0" collapsed="false">
      <c r="A62" s="4" t="s">
        <v>181</v>
      </c>
      <c r="B62" s="5" t="n">
        <v>56</v>
      </c>
      <c r="C62" s="5" t="n">
        <v>40</v>
      </c>
      <c r="D62" s="5" t="n">
        <f aca="false">B62-C62</f>
        <v>16</v>
      </c>
      <c r="E62" s="6" t="n">
        <f aca="false">C62/B62</f>
        <v>0.714285714285714</v>
      </c>
      <c r="F62" s="5" t="str">
        <f aca="false">IF(E62&gt;=0.2,"Pass","Review")</f>
        <v>Pass</v>
      </c>
    </row>
    <row r="63" customFormat="false" ht="15" hidden="false" customHeight="false" outlineLevel="0" collapsed="false">
      <c r="A63" s="4" t="s">
        <v>183</v>
      </c>
      <c r="B63" s="5" t="n">
        <v>70</v>
      </c>
      <c r="C63" s="5" t="n">
        <v>68</v>
      </c>
      <c r="D63" s="5" t="n">
        <f aca="false">B63-C63</f>
        <v>2</v>
      </c>
      <c r="E63" s="6" t="n">
        <f aca="false">C63/B63</f>
        <v>0.971428571428571</v>
      </c>
      <c r="F63" s="5" t="str">
        <f aca="false">IF(E63&gt;=0.2,"Pass","Review")</f>
        <v>Pass</v>
      </c>
    </row>
    <row r="64" customFormat="false" ht="15" hidden="false" customHeight="false" outlineLevel="0" collapsed="false">
      <c r="A64" s="4" t="s">
        <v>185</v>
      </c>
      <c r="B64" s="5" t="n">
        <v>59</v>
      </c>
      <c r="C64" s="5" t="n">
        <v>59</v>
      </c>
      <c r="D64" s="5" t="n">
        <f aca="false">B64-C64</f>
        <v>0</v>
      </c>
      <c r="E64" s="6" t="n">
        <f aca="false">C64/B64</f>
        <v>1</v>
      </c>
      <c r="F64" s="5" t="str">
        <f aca="false">IF(E64&gt;=0.2,"Pass","Review")</f>
        <v>Pass</v>
      </c>
    </row>
    <row r="65" customFormat="false" ht="15" hidden="false" customHeight="false" outlineLevel="0" collapsed="false">
      <c r="A65" s="4" t="s">
        <v>187</v>
      </c>
      <c r="B65" s="5" t="n">
        <v>62</v>
      </c>
      <c r="C65" s="5" t="n">
        <v>12</v>
      </c>
      <c r="D65" s="5" t="n">
        <f aca="false">B65-C65</f>
        <v>50</v>
      </c>
      <c r="E65" s="6" t="n">
        <f aca="false">C65/B65</f>
        <v>0.193548387096774</v>
      </c>
      <c r="F65" s="5" t="str">
        <f aca="false">IF(E65&gt;=0.2,"Pass","Review")</f>
        <v>Review</v>
      </c>
    </row>
    <row r="66" customFormat="false" ht="15" hidden="false" customHeight="false" outlineLevel="0" collapsed="false">
      <c r="A66" s="4" t="s">
        <v>189</v>
      </c>
      <c r="B66" s="5" t="n">
        <v>76</v>
      </c>
      <c r="C66" s="5" t="n">
        <v>28</v>
      </c>
      <c r="D66" s="5" t="n">
        <f aca="false">B66-C66</f>
        <v>48</v>
      </c>
      <c r="E66" s="6" t="n">
        <f aca="false">C66/B66</f>
        <v>0.368421052631579</v>
      </c>
      <c r="F66" s="5" t="str">
        <f aca="false">IF(E66&gt;=0.2,"Pass","Review")</f>
        <v>Pass</v>
      </c>
    </row>
    <row r="67" customFormat="false" ht="15" hidden="false" customHeight="false" outlineLevel="0" collapsed="false">
      <c r="A67" s="4" t="s">
        <v>191</v>
      </c>
      <c r="B67" s="5" t="n">
        <v>116</v>
      </c>
      <c r="C67" s="5" t="n">
        <v>14</v>
      </c>
      <c r="D67" s="5" t="n">
        <f aca="false">B67-C67</f>
        <v>102</v>
      </c>
      <c r="E67" s="6" t="n">
        <f aca="false">C67/B67</f>
        <v>0.120689655172414</v>
      </c>
      <c r="F67" s="5" t="str">
        <f aca="false">IF(E67&gt;=0.2,"Pass","Review")</f>
        <v>Review</v>
      </c>
    </row>
    <row r="68" customFormat="false" ht="15" hidden="false" customHeight="false" outlineLevel="0" collapsed="false">
      <c r="A68" s="4" t="s">
        <v>193</v>
      </c>
      <c r="B68" s="5" t="n">
        <v>94</v>
      </c>
      <c r="C68" s="5" t="n">
        <v>41</v>
      </c>
      <c r="D68" s="5" t="n">
        <f aca="false">B68-C68</f>
        <v>53</v>
      </c>
      <c r="E68" s="6" t="n">
        <f aca="false">C68/B68</f>
        <v>0.436170212765957</v>
      </c>
      <c r="F68" s="5" t="str">
        <f aca="false">IF(E68&gt;=0.2,"Pass","Review")</f>
        <v>Pass</v>
      </c>
    </row>
    <row r="69" customFormat="false" ht="15" hidden="false" customHeight="false" outlineLevel="0" collapsed="false">
      <c r="A69" s="4" t="s">
        <v>195</v>
      </c>
      <c r="B69" s="5" t="n">
        <v>31</v>
      </c>
      <c r="C69" s="5" t="n">
        <v>23</v>
      </c>
      <c r="D69" s="5" t="n">
        <f aca="false">B69-C69</f>
        <v>8</v>
      </c>
      <c r="E69" s="6" t="n">
        <f aca="false">C69/B69</f>
        <v>0.741935483870968</v>
      </c>
      <c r="F69" s="5" t="str">
        <f aca="false">IF(E69&gt;=0.2,"Pass","Review")</f>
        <v>Pass</v>
      </c>
    </row>
    <row r="70" customFormat="false" ht="15" hidden="false" customHeight="false" outlineLevel="0" collapsed="false">
      <c r="A70" s="4" t="s">
        <v>197</v>
      </c>
      <c r="B70" s="5" t="n">
        <v>36</v>
      </c>
      <c r="C70" s="5" t="n">
        <v>26</v>
      </c>
      <c r="D70" s="5" t="n">
        <f aca="false">B70-C70</f>
        <v>10</v>
      </c>
      <c r="E70" s="6" t="n">
        <f aca="false">C70/B70</f>
        <v>0.722222222222222</v>
      </c>
      <c r="F70" s="5" t="str">
        <f aca="false">IF(E70&gt;=0.2,"Pass","Review")</f>
        <v>Pass</v>
      </c>
    </row>
    <row r="71" customFormat="false" ht="15" hidden="false" customHeight="false" outlineLevel="0" collapsed="false">
      <c r="A71" s="4" t="s">
        <v>199</v>
      </c>
      <c r="B71" s="5" t="n">
        <v>57</v>
      </c>
      <c r="C71" s="5" t="n">
        <v>29</v>
      </c>
      <c r="D71" s="5" t="n">
        <f aca="false">B71-C71</f>
        <v>28</v>
      </c>
      <c r="E71" s="6" t="n">
        <f aca="false">C71/B71</f>
        <v>0.508771929824561</v>
      </c>
      <c r="F71" s="5" t="str">
        <f aca="false">IF(E71&gt;=0.2,"Pass","Review")</f>
        <v>Pass</v>
      </c>
    </row>
    <row r="72" customFormat="false" ht="15" hidden="false" customHeight="false" outlineLevel="0" collapsed="false">
      <c r="A72" s="4" t="s">
        <v>201</v>
      </c>
      <c r="B72" s="5" t="n">
        <v>81</v>
      </c>
      <c r="C72" s="5" t="n">
        <v>48</v>
      </c>
      <c r="D72" s="5" t="n">
        <f aca="false">B72-C72</f>
        <v>33</v>
      </c>
      <c r="E72" s="6" t="n">
        <f aca="false">C72/B72</f>
        <v>0.592592592592593</v>
      </c>
      <c r="F72" s="5" t="str">
        <f aca="false">IF(E72&gt;=0.2,"Pass","Review")</f>
        <v>Pass</v>
      </c>
    </row>
    <row r="73" customFormat="false" ht="15" hidden="false" customHeight="false" outlineLevel="0" collapsed="false">
      <c r="A73" s="4" t="s">
        <v>203</v>
      </c>
      <c r="B73" s="5" t="n">
        <v>81</v>
      </c>
      <c r="C73" s="5" t="n">
        <v>54</v>
      </c>
      <c r="D73" s="5" t="n">
        <f aca="false">B73-C73</f>
        <v>27</v>
      </c>
      <c r="E73" s="6" t="n">
        <f aca="false">C73/B73</f>
        <v>0.666666666666667</v>
      </c>
      <c r="F73" s="5" t="str">
        <f aca="false">IF(E73&gt;=0.2,"Pass","Review")</f>
        <v>Pass</v>
      </c>
    </row>
    <row r="74" customFormat="false" ht="15" hidden="false" customHeight="false" outlineLevel="0" collapsed="false">
      <c r="A74" s="4" t="s">
        <v>205</v>
      </c>
      <c r="B74" s="5" t="n">
        <v>83</v>
      </c>
      <c r="C74" s="5" t="n">
        <v>52</v>
      </c>
      <c r="D74" s="5" t="n">
        <f aca="false">B74-C74</f>
        <v>31</v>
      </c>
      <c r="E74" s="6" t="n">
        <f aca="false">C74/B74</f>
        <v>0.626506024096386</v>
      </c>
      <c r="F74" s="5" t="str">
        <f aca="false">IF(E74&gt;=0.2,"Pass","Review")</f>
        <v>Pass</v>
      </c>
    </row>
    <row r="75" customFormat="false" ht="15" hidden="false" customHeight="false" outlineLevel="0" collapsed="false">
      <c r="A75" s="4" t="s">
        <v>207</v>
      </c>
      <c r="B75" s="5" t="n">
        <v>98</v>
      </c>
      <c r="C75" s="5" t="n">
        <v>16</v>
      </c>
      <c r="D75" s="5" t="n">
        <f aca="false">B75-C75</f>
        <v>82</v>
      </c>
      <c r="E75" s="6" t="n">
        <f aca="false">C75/B75</f>
        <v>0.163265306122449</v>
      </c>
      <c r="F75" s="5" t="str">
        <f aca="false">IF(E75&gt;=0.2,"Pass","Review")</f>
        <v>Review</v>
      </c>
    </row>
    <row r="76" customFormat="false" ht="15" hidden="false" customHeight="false" outlineLevel="0" collapsed="false">
      <c r="A76" s="4" t="s">
        <v>209</v>
      </c>
      <c r="B76" s="5" t="n">
        <v>53</v>
      </c>
      <c r="C76" s="5" t="n">
        <v>7</v>
      </c>
      <c r="D76" s="5" t="n">
        <f aca="false">B76-C76</f>
        <v>46</v>
      </c>
      <c r="E76" s="6" t="n">
        <f aca="false">C76/B76</f>
        <v>0.132075471698113</v>
      </c>
      <c r="F76" s="5" t="str">
        <f aca="false">IF(E76&gt;=0.2,"Pass","Review")</f>
        <v>Review</v>
      </c>
    </row>
    <row r="77" customFormat="false" ht="15" hidden="false" customHeight="false" outlineLevel="0" collapsed="false">
      <c r="A77" s="4" t="s">
        <v>211</v>
      </c>
      <c r="B77" s="5" t="n">
        <v>77</v>
      </c>
      <c r="C77" s="5" t="n">
        <v>56</v>
      </c>
      <c r="D77" s="5" t="n">
        <f aca="false">B77-C77</f>
        <v>21</v>
      </c>
      <c r="E77" s="6" t="n">
        <f aca="false">C77/B77</f>
        <v>0.727272727272727</v>
      </c>
      <c r="F77" s="5" t="str">
        <f aca="false">IF(E77&gt;=0.2,"Pass","Review")</f>
        <v>Pass</v>
      </c>
    </row>
    <row r="78" customFormat="false" ht="15" hidden="false" customHeight="false" outlineLevel="0" collapsed="false">
      <c r="A78" s="4" t="s">
        <v>213</v>
      </c>
      <c r="B78" s="5" t="n">
        <v>86</v>
      </c>
      <c r="C78" s="5" t="n">
        <v>34</v>
      </c>
      <c r="D78" s="5" t="n">
        <f aca="false">B78-C78</f>
        <v>52</v>
      </c>
      <c r="E78" s="6" t="n">
        <f aca="false">C78/B78</f>
        <v>0.395348837209302</v>
      </c>
      <c r="F78" s="5" t="str">
        <f aca="false">IF(E78&gt;=0.2,"Pass","Review")</f>
        <v>Pass</v>
      </c>
    </row>
    <row r="79" customFormat="false" ht="15" hidden="false" customHeight="false" outlineLevel="0" collapsed="false">
      <c r="A79" s="4" t="s">
        <v>215</v>
      </c>
      <c r="B79" s="5" t="n">
        <v>69</v>
      </c>
      <c r="C79" s="5" t="n">
        <v>33</v>
      </c>
      <c r="D79" s="5" t="n">
        <f aca="false">B79-C79</f>
        <v>36</v>
      </c>
      <c r="E79" s="6" t="n">
        <f aca="false">C79/B79</f>
        <v>0.478260869565217</v>
      </c>
      <c r="F79" s="5" t="str">
        <f aca="false">IF(E79&gt;=0.2,"Pass","Review")</f>
        <v>Pass</v>
      </c>
    </row>
    <row r="80" customFormat="false" ht="15" hidden="false" customHeight="false" outlineLevel="0" collapsed="false">
      <c r="A80" s="4" t="s">
        <v>217</v>
      </c>
      <c r="B80" s="5" t="n">
        <v>113</v>
      </c>
      <c r="C80" s="5" t="n">
        <v>97</v>
      </c>
      <c r="D80" s="5" t="n">
        <f aca="false">B80-C80</f>
        <v>16</v>
      </c>
      <c r="E80" s="6" t="n">
        <f aca="false">C80/B80</f>
        <v>0.858407079646018</v>
      </c>
      <c r="F80" s="5" t="str">
        <f aca="false">IF(E80&gt;=0.2,"Pass","Review")</f>
        <v>Pass</v>
      </c>
    </row>
    <row r="81" customFormat="false" ht="15" hidden="false" customHeight="false" outlineLevel="0" collapsed="false">
      <c r="A81" s="4" t="s">
        <v>219</v>
      </c>
      <c r="B81" s="5" t="n">
        <v>69</v>
      </c>
      <c r="C81" s="5" t="n">
        <v>18</v>
      </c>
      <c r="D81" s="5" t="n">
        <f aca="false">B81-C81</f>
        <v>51</v>
      </c>
      <c r="E81" s="6" t="n">
        <f aca="false">C81/B81</f>
        <v>0.260869565217391</v>
      </c>
      <c r="F81" s="5" t="str">
        <f aca="false">IF(E81&gt;=0.2,"Pass","Review")</f>
        <v>Pass</v>
      </c>
    </row>
    <row r="82" customFormat="false" ht="15" hidden="false" customHeight="false" outlineLevel="0" collapsed="false">
      <c r="A82" s="4" t="s">
        <v>221</v>
      </c>
      <c r="B82" s="5" t="n">
        <v>118</v>
      </c>
      <c r="C82" s="5" t="n">
        <v>97</v>
      </c>
      <c r="D82" s="5" t="n">
        <f aca="false">B82-C82</f>
        <v>21</v>
      </c>
      <c r="E82" s="6" t="n">
        <f aca="false">C82/B82</f>
        <v>0.822033898305085</v>
      </c>
      <c r="F82" s="5" t="str">
        <f aca="false">IF(E82&gt;=0.2,"Pass","Review")</f>
        <v>Pass</v>
      </c>
    </row>
    <row r="83" customFormat="false" ht="15" hidden="false" customHeight="false" outlineLevel="0" collapsed="false">
      <c r="A83" s="4" t="s">
        <v>223</v>
      </c>
      <c r="B83" s="5" t="n">
        <v>70</v>
      </c>
      <c r="C83" s="5" t="n">
        <v>32</v>
      </c>
      <c r="D83" s="5" t="n">
        <f aca="false">B83-C83</f>
        <v>38</v>
      </c>
      <c r="E83" s="6" t="n">
        <f aca="false">C83/B83</f>
        <v>0.457142857142857</v>
      </c>
      <c r="F83" s="5" t="str">
        <f aca="false">IF(E83&gt;=0.2,"Pass","Review")</f>
        <v>Pass</v>
      </c>
    </row>
    <row r="84" customFormat="false" ht="15" hidden="false" customHeight="false" outlineLevel="0" collapsed="false">
      <c r="A84" s="4" t="s">
        <v>225</v>
      </c>
      <c r="B84" s="5" t="n">
        <v>116</v>
      </c>
      <c r="C84" s="5" t="n">
        <v>96</v>
      </c>
      <c r="D84" s="5" t="n">
        <f aca="false">B84-C84</f>
        <v>20</v>
      </c>
      <c r="E84" s="6" t="n">
        <f aca="false">C84/B84</f>
        <v>0.827586206896552</v>
      </c>
      <c r="F84" s="5" t="str">
        <f aca="false">IF(E84&gt;=0.2,"Pass","Review")</f>
        <v>Pass</v>
      </c>
    </row>
    <row r="85" customFormat="false" ht="15" hidden="false" customHeight="false" outlineLevel="0" collapsed="false">
      <c r="A85" s="4" t="s">
        <v>227</v>
      </c>
      <c r="B85" s="5" t="n">
        <v>61</v>
      </c>
      <c r="C85" s="5" t="n">
        <v>29</v>
      </c>
      <c r="D85" s="5" t="n">
        <f aca="false">B85-C85</f>
        <v>32</v>
      </c>
      <c r="E85" s="6" t="n">
        <f aca="false">C85/B85</f>
        <v>0.475409836065574</v>
      </c>
      <c r="F85" s="5" t="str">
        <f aca="false">IF(E85&gt;=0.2,"Pass","Review")</f>
        <v>Pass</v>
      </c>
    </row>
    <row r="86" customFormat="false" ht="15" hidden="false" customHeight="false" outlineLevel="0" collapsed="false">
      <c r="A86" s="4" t="s">
        <v>229</v>
      </c>
      <c r="B86" s="5" t="n">
        <v>67</v>
      </c>
      <c r="C86" s="5" t="n">
        <v>33</v>
      </c>
      <c r="D86" s="5" t="n">
        <f aca="false">B86-C86</f>
        <v>34</v>
      </c>
      <c r="E86" s="6" t="n">
        <f aca="false">C86/B86</f>
        <v>0.492537313432836</v>
      </c>
      <c r="F86" s="5" t="str">
        <f aca="false">IF(E86&gt;=0.2,"Pass","Review")</f>
        <v>Pass</v>
      </c>
    </row>
    <row r="87" customFormat="false" ht="15" hidden="false" customHeight="false" outlineLevel="0" collapsed="false">
      <c r="A87" s="4" t="s">
        <v>231</v>
      </c>
      <c r="B87" s="5" t="n">
        <v>40</v>
      </c>
      <c r="C87" s="5" t="n">
        <v>33</v>
      </c>
      <c r="D87" s="5" t="n">
        <f aca="false">B87-C87</f>
        <v>7</v>
      </c>
      <c r="E87" s="6" t="n">
        <f aca="false">C87/B87</f>
        <v>0.825</v>
      </c>
      <c r="F87" s="5" t="str">
        <f aca="false">IF(E87&gt;=0.2,"Pass","Review")</f>
        <v>Pass</v>
      </c>
    </row>
    <row r="88" customFormat="false" ht="15" hidden="false" customHeight="false" outlineLevel="0" collapsed="false">
      <c r="A88" s="4" t="s">
        <v>233</v>
      </c>
      <c r="B88" s="5" t="n">
        <v>83</v>
      </c>
      <c r="C88" s="5" t="n">
        <v>37</v>
      </c>
      <c r="D88" s="5" t="n">
        <f aca="false">B88-C88</f>
        <v>46</v>
      </c>
      <c r="E88" s="6" t="n">
        <f aca="false">C88/B88</f>
        <v>0.445783132530121</v>
      </c>
      <c r="F88" s="5" t="str">
        <f aca="false">IF(E88&gt;=0.2,"Pass","Review")</f>
        <v>Pass</v>
      </c>
    </row>
    <row r="89" customFormat="false" ht="15" hidden="false" customHeight="false" outlineLevel="0" collapsed="false">
      <c r="A89" s="4" t="s">
        <v>235</v>
      </c>
      <c r="B89" s="5" t="n">
        <v>38</v>
      </c>
      <c r="C89" s="5" t="n">
        <v>37</v>
      </c>
      <c r="D89" s="5" t="n">
        <f aca="false">B89-C89</f>
        <v>1</v>
      </c>
      <c r="E89" s="6" t="n">
        <f aca="false">C89/B89</f>
        <v>0.973684210526316</v>
      </c>
      <c r="F89" s="5" t="str">
        <f aca="false">IF(E89&gt;=0.2,"Pass","Review")</f>
        <v>Pass</v>
      </c>
    </row>
    <row r="90" customFormat="false" ht="15" hidden="false" customHeight="false" outlineLevel="0" collapsed="false">
      <c r="A90" s="4" t="s">
        <v>237</v>
      </c>
      <c r="B90" s="5" t="n">
        <v>67</v>
      </c>
      <c r="C90" s="5" t="n">
        <v>63</v>
      </c>
      <c r="D90" s="5" t="n">
        <f aca="false">B90-C90</f>
        <v>4</v>
      </c>
      <c r="E90" s="6" t="n">
        <f aca="false">C90/B90</f>
        <v>0.940298507462687</v>
      </c>
      <c r="F90" s="5" t="str">
        <f aca="false">IF(E90&gt;=0.2,"Pass","Review")</f>
        <v>Pass</v>
      </c>
    </row>
    <row r="91" customFormat="false" ht="15" hidden="false" customHeight="false" outlineLevel="0" collapsed="false">
      <c r="A91" s="4" t="s">
        <v>239</v>
      </c>
      <c r="B91" s="5" t="n">
        <v>117</v>
      </c>
      <c r="C91" s="5" t="n">
        <v>116</v>
      </c>
      <c r="D91" s="5" t="n">
        <f aca="false">B91-C91</f>
        <v>1</v>
      </c>
      <c r="E91" s="6" t="n">
        <f aca="false">C91/B91</f>
        <v>0.991452991452992</v>
      </c>
      <c r="F91" s="5" t="str">
        <f aca="false">IF(E91&gt;=0.2,"Pass","Review")</f>
        <v>Pass</v>
      </c>
    </row>
    <row r="92" customFormat="false" ht="15" hidden="false" customHeight="false" outlineLevel="0" collapsed="false">
      <c r="A92" s="4" t="s">
        <v>241</v>
      </c>
      <c r="B92" s="5" t="n">
        <v>71</v>
      </c>
      <c r="C92" s="5" t="n">
        <v>66</v>
      </c>
      <c r="D92" s="5" t="n">
        <f aca="false">B92-C92</f>
        <v>5</v>
      </c>
      <c r="E92" s="6" t="n">
        <f aca="false">C92/B92</f>
        <v>0.929577464788732</v>
      </c>
      <c r="F92" s="5" t="str">
        <f aca="false">IF(E92&gt;=0.2,"Pass","Review")</f>
        <v>Pass</v>
      </c>
    </row>
    <row r="93" customFormat="false" ht="15" hidden="false" customHeight="false" outlineLevel="0" collapsed="false">
      <c r="A93" s="4" t="s">
        <v>243</v>
      </c>
      <c r="B93" s="5" t="n">
        <v>98</v>
      </c>
      <c r="C93" s="5" t="n">
        <v>21</v>
      </c>
      <c r="D93" s="5" t="n">
        <f aca="false">B93-C93</f>
        <v>77</v>
      </c>
      <c r="E93" s="6" t="n">
        <f aca="false">C93/B93</f>
        <v>0.214285714285714</v>
      </c>
      <c r="F93" s="5" t="str">
        <f aca="false">IF(E93&gt;=0.2,"Pass","Review")</f>
        <v>Pass</v>
      </c>
    </row>
    <row r="94" customFormat="false" ht="15" hidden="false" customHeight="false" outlineLevel="0" collapsed="false">
      <c r="A94" s="4" t="s">
        <v>245</v>
      </c>
      <c r="B94" s="5" t="n">
        <v>62</v>
      </c>
      <c r="C94" s="5" t="n">
        <v>32</v>
      </c>
      <c r="D94" s="5" t="n">
        <f aca="false">B94-C94</f>
        <v>30</v>
      </c>
      <c r="E94" s="6" t="n">
        <f aca="false">C94/B94</f>
        <v>0.516129032258065</v>
      </c>
      <c r="F94" s="5" t="str">
        <f aca="false">IF(E94&gt;=0.2,"Pass","Review")</f>
        <v>Pass</v>
      </c>
    </row>
    <row r="95" customFormat="false" ht="15" hidden="false" customHeight="false" outlineLevel="0" collapsed="false">
      <c r="A95" s="4" t="s">
        <v>247</v>
      </c>
      <c r="B95" s="5" t="n">
        <v>67</v>
      </c>
      <c r="C95" s="5" t="n">
        <v>31</v>
      </c>
      <c r="D95" s="5" t="n">
        <f aca="false">B95-C95</f>
        <v>36</v>
      </c>
      <c r="E95" s="6" t="n">
        <f aca="false">C95/B95</f>
        <v>0.462686567164179</v>
      </c>
      <c r="F95" s="5" t="str">
        <f aca="false">IF(E95&gt;=0.2,"Pass","Review")</f>
        <v>Pass</v>
      </c>
    </row>
    <row r="96" customFormat="false" ht="15" hidden="false" customHeight="false" outlineLevel="0" collapsed="false">
      <c r="A96" s="4" t="s">
        <v>249</v>
      </c>
      <c r="B96" s="5" t="n">
        <v>114</v>
      </c>
      <c r="C96" s="5" t="n">
        <v>110</v>
      </c>
      <c r="D96" s="5" t="n">
        <f aca="false">B96-C96</f>
        <v>4</v>
      </c>
      <c r="E96" s="6" t="n">
        <f aca="false">C96/B96</f>
        <v>0.964912280701754</v>
      </c>
      <c r="F96" s="5" t="str">
        <f aca="false">IF(E96&gt;=0.2,"Pass","Review")</f>
        <v>Pass</v>
      </c>
    </row>
    <row r="97" customFormat="false" ht="15" hidden="false" customHeight="false" outlineLevel="0" collapsed="false">
      <c r="A97" s="4" t="s">
        <v>251</v>
      </c>
      <c r="B97" s="5" t="n">
        <v>108</v>
      </c>
      <c r="C97" s="5" t="n">
        <v>25</v>
      </c>
      <c r="D97" s="5" t="n">
        <f aca="false">B97-C97</f>
        <v>83</v>
      </c>
      <c r="E97" s="6" t="n">
        <f aca="false">C97/B97</f>
        <v>0.231481481481481</v>
      </c>
      <c r="F97" s="5" t="str">
        <f aca="false">IF(E97&gt;=0.2,"Pass","Review")</f>
        <v>Pass</v>
      </c>
    </row>
    <row r="98" customFormat="false" ht="15" hidden="false" customHeight="false" outlineLevel="0" collapsed="false">
      <c r="A98" s="4" t="s">
        <v>253</v>
      </c>
      <c r="B98" s="5" t="n">
        <v>66</v>
      </c>
      <c r="C98" s="5" t="n">
        <v>29</v>
      </c>
      <c r="D98" s="5" t="n">
        <f aca="false">B98-C98</f>
        <v>37</v>
      </c>
      <c r="E98" s="6" t="n">
        <f aca="false">C98/B98</f>
        <v>0.439393939393939</v>
      </c>
      <c r="F98" s="5" t="str">
        <f aca="false">IF(E98&gt;=0.2,"Pass","Review")</f>
        <v>Pass</v>
      </c>
    </row>
    <row r="99" customFormat="false" ht="15" hidden="false" customHeight="false" outlineLevel="0" collapsed="false">
      <c r="A99" s="4" t="s">
        <v>255</v>
      </c>
      <c r="B99" s="5" t="n">
        <v>116</v>
      </c>
      <c r="C99" s="5" t="n">
        <v>91</v>
      </c>
      <c r="D99" s="5" t="n">
        <f aca="false">B99-C99</f>
        <v>25</v>
      </c>
      <c r="E99" s="6" t="n">
        <f aca="false">C99/B99</f>
        <v>0.78448275862069</v>
      </c>
      <c r="F99" s="5" t="str">
        <f aca="false">IF(E99&gt;=0.2,"Pass","Review")</f>
        <v>Pass</v>
      </c>
    </row>
    <row r="100" customFormat="false" ht="15" hidden="false" customHeight="false" outlineLevel="0" collapsed="false">
      <c r="A100" s="4" t="s">
        <v>257</v>
      </c>
      <c r="B100" s="5" t="n">
        <v>107</v>
      </c>
      <c r="C100" s="5" t="n">
        <v>84</v>
      </c>
      <c r="D100" s="5" t="n">
        <f aca="false">B100-C100</f>
        <v>23</v>
      </c>
      <c r="E100" s="6" t="n">
        <f aca="false">C100/B100</f>
        <v>0.785046728971963</v>
      </c>
      <c r="F100" s="5" t="str">
        <f aca="false">IF(E100&gt;=0.2,"Pass","Review")</f>
        <v>Pass</v>
      </c>
    </row>
    <row r="101" customFormat="false" ht="15" hidden="false" customHeight="false" outlineLevel="0" collapsed="false">
      <c r="A101" s="4" t="s">
        <v>259</v>
      </c>
      <c r="B101" s="5" t="n">
        <v>115</v>
      </c>
      <c r="C101" s="5" t="n">
        <v>96</v>
      </c>
      <c r="D101" s="5" t="n">
        <f aca="false">B101-C101</f>
        <v>19</v>
      </c>
      <c r="E101" s="6" t="n">
        <f aca="false">C101/B101</f>
        <v>0.834782608695652</v>
      </c>
      <c r="F101" s="5" t="str">
        <f aca="false">IF(E101&gt;=0.2,"Pass","Review")</f>
        <v>Pass</v>
      </c>
    </row>
    <row r="102" customFormat="false" ht="15" hidden="false" customHeight="false" outlineLevel="0" collapsed="false">
      <c r="A102" s="4" t="s">
        <v>261</v>
      </c>
      <c r="B102" s="5" t="n">
        <v>86</v>
      </c>
      <c r="C102" s="5" t="n">
        <v>29</v>
      </c>
      <c r="D102" s="5" t="n">
        <f aca="false">B102-C102</f>
        <v>57</v>
      </c>
      <c r="E102" s="6" t="n">
        <f aca="false">C102/B102</f>
        <v>0.337209302325581</v>
      </c>
      <c r="F102" s="5" t="str">
        <f aca="false">IF(E102&gt;=0.2,"Pass","Review")</f>
        <v>Pass</v>
      </c>
    </row>
    <row r="103" customFormat="false" ht="15" hidden="false" customHeight="false" outlineLevel="0" collapsed="false">
      <c r="A103" s="4" t="s">
        <v>263</v>
      </c>
      <c r="B103" s="5" t="n">
        <v>78</v>
      </c>
      <c r="C103" s="5" t="n">
        <v>48</v>
      </c>
      <c r="D103" s="5" t="n">
        <f aca="false">B103-C103</f>
        <v>30</v>
      </c>
      <c r="E103" s="6" t="n">
        <f aca="false">C103/B103</f>
        <v>0.615384615384615</v>
      </c>
      <c r="F103" s="5" t="str">
        <f aca="false">IF(E103&gt;=0.2,"Pass","Review")</f>
        <v>Pass</v>
      </c>
    </row>
    <row r="104" customFormat="false" ht="15" hidden="false" customHeight="false" outlineLevel="0" collapsed="false">
      <c r="A104" s="4" t="s">
        <v>265</v>
      </c>
      <c r="B104" s="5" t="n">
        <v>55</v>
      </c>
      <c r="C104" s="5" t="n">
        <v>27</v>
      </c>
      <c r="D104" s="5" t="n">
        <f aca="false">B104-C104</f>
        <v>28</v>
      </c>
      <c r="E104" s="6" t="n">
        <f aca="false">C104/B104</f>
        <v>0.490909090909091</v>
      </c>
      <c r="F104" s="5" t="str">
        <f aca="false">IF(E104&gt;=0.2,"Pass","Review")</f>
        <v>Pass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22"/>
    <col collapsed="false" customWidth="true" hidden="false" outlineLevel="0" max="3" min="3" style="0" width="30"/>
    <col collapsed="false" customWidth="true" hidden="false" outlineLevel="0" max="4" min="4" style="0" width="19"/>
    <col collapsed="false" customWidth="true" hidden="false" outlineLevel="0" max="5" min="5" style="0" width="16"/>
    <col collapsed="false" customWidth="true" hidden="false" outlineLevel="0" max="6" min="6" style="0" width="15"/>
  </cols>
  <sheetData>
    <row r="1" customFormat="false" ht="17.35" hidden="false" customHeight="false" outlineLevel="0" collapsed="false">
      <c r="A1" s="1" t="s">
        <v>274</v>
      </c>
    </row>
    <row r="2" customFormat="false" ht="15" hidden="false" customHeight="false" outlineLevel="0" collapsed="false">
      <c r="A2" s="2" t="s">
        <v>275</v>
      </c>
    </row>
    <row r="4" customFormat="false" ht="15" hidden="false" customHeight="false" outlineLevel="0" collapsed="false">
      <c r="A4" s="3" t="s">
        <v>2</v>
      </c>
      <c r="B4" s="3" t="s">
        <v>276</v>
      </c>
      <c r="C4" s="3" t="s">
        <v>277</v>
      </c>
      <c r="D4" s="3" t="s">
        <v>278</v>
      </c>
      <c r="E4" s="3" t="s">
        <v>279</v>
      </c>
      <c r="F4" s="3" t="s">
        <v>280</v>
      </c>
    </row>
    <row r="5" customFormat="false" ht="15" hidden="false" customHeight="false" outlineLevel="0" collapsed="false">
      <c r="A5" s="4" t="s">
        <v>10</v>
      </c>
      <c r="B5" s="5" t="n">
        <v>51</v>
      </c>
      <c r="C5" s="5" t="n">
        <v>10</v>
      </c>
      <c r="D5" s="5" t="n">
        <f aca="false">B5-C5</f>
        <v>41</v>
      </c>
      <c r="E5" s="6" t="n">
        <f aca="false">C5/B5</f>
        <v>0.196078431372549</v>
      </c>
      <c r="F5" s="5" t="str">
        <f aca="false">IF(E5&lt;=0.03,"Pass","Threshold Review")</f>
        <v>Threshold Review</v>
      </c>
    </row>
    <row r="6" customFormat="false" ht="15" hidden="false" customHeight="false" outlineLevel="0" collapsed="false">
      <c r="A6" s="4" t="s">
        <v>18</v>
      </c>
      <c r="B6" s="5" t="n">
        <v>140</v>
      </c>
      <c r="C6" s="5" t="n">
        <v>11</v>
      </c>
      <c r="D6" s="5" t="n">
        <f aca="false">B6-C6</f>
        <v>129</v>
      </c>
      <c r="E6" s="6" t="n">
        <f aca="false">C6/B6</f>
        <v>0.0785714285714286</v>
      </c>
      <c r="F6" s="5" t="str">
        <f aca="false">IF(E6&lt;=0.03,"Pass","Threshold Review")</f>
        <v>Threshold Review</v>
      </c>
    </row>
    <row r="7" customFormat="false" ht="15" hidden="false" customHeight="false" outlineLevel="0" collapsed="false">
      <c r="A7" s="4" t="s">
        <v>25</v>
      </c>
      <c r="B7" s="5" t="n">
        <v>125</v>
      </c>
      <c r="C7" s="5" t="n">
        <v>3</v>
      </c>
      <c r="D7" s="5" t="n">
        <f aca="false">B7-C7</f>
        <v>122</v>
      </c>
      <c r="E7" s="6" t="n">
        <f aca="false">C7/B7</f>
        <v>0.024</v>
      </c>
      <c r="F7" s="5" t="str">
        <f aca="false">IF(E7&lt;=0.03,"Pass","Threshold Review")</f>
        <v>Pass</v>
      </c>
    </row>
    <row r="8" customFormat="false" ht="15" hidden="false" customHeight="false" outlineLevel="0" collapsed="false">
      <c r="A8" s="4" t="s">
        <v>32</v>
      </c>
      <c r="B8" s="5" t="n">
        <v>93</v>
      </c>
      <c r="C8" s="5" t="n">
        <v>12</v>
      </c>
      <c r="D8" s="5" t="n">
        <f aca="false">B8-C8</f>
        <v>81</v>
      </c>
      <c r="E8" s="6" t="n">
        <f aca="false">C8/B8</f>
        <v>0.129032258064516</v>
      </c>
      <c r="F8" s="5" t="str">
        <f aca="false">IF(E8&lt;=0.03,"Pass","Threshold Review")</f>
        <v>Threshold Review</v>
      </c>
    </row>
    <row r="9" customFormat="false" ht="15" hidden="false" customHeight="false" outlineLevel="0" collapsed="false">
      <c r="A9" s="4" t="s">
        <v>40</v>
      </c>
      <c r="B9" s="5" t="n">
        <v>116</v>
      </c>
      <c r="C9" s="5" t="n">
        <v>10</v>
      </c>
      <c r="D9" s="5" t="n">
        <f aca="false">B9-C9</f>
        <v>106</v>
      </c>
      <c r="E9" s="6" t="n">
        <f aca="false">C9/B9</f>
        <v>0.0862068965517241</v>
      </c>
      <c r="F9" s="5" t="str">
        <f aca="false">IF(E9&lt;=0.03,"Pass","Threshold Review")</f>
        <v>Threshold Review</v>
      </c>
    </row>
    <row r="10" customFormat="false" ht="15" hidden="false" customHeight="false" outlineLevel="0" collapsed="false">
      <c r="A10" s="4" t="s">
        <v>48</v>
      </c>
      <c r="B10" s="5" t="n">
        <v>156</v>
      </c>
      <c r="C10" s="5" t="n">
        <v>11</v>
      </c>
      <c r="D10" s="5" t="n">
        <f aca="false">B10-C10</f>
        <v>145</v>
      </c>
      <c r="E10" s="6" t="n">
        <f aca="false">C10/B10</f>
        <v>0.0705128205128205</v>
      </c>
      <c r="F10" s="5" t="str">
        <f aca="false">IF(E10&lt;=0.03,"Pass","Threshold Review")</f>
        <v>Threshold Review</v>
      </c>
    </row>
    <row r="11" customFormat="false" ht="15" hidden="false" customHeight="false" outlineLevel="0" collapsed="false">
      <c r="A11" s="4" t="s">
        <v>55</v>
      </c>
      <c r="B11" s="5" t="n">
        <v>109</v>
      </c>
      <c r="C11" s="5" t="n">
        <v>6</v>
      </c>
      <c r="D11" s="5" t="n">
        <f aca="false">B11-C11</f>
        <v>103</v>
      </c>
      <c r="E11" s="6" t="n">
        <f aca="false">C11/B11</f>
        <v>0.055045871559633</v>
      </c>
      <c r="F11" s="5" t="str">
        <f aca="false">IF(E11&lt;=0.03,"Pass","Threshold Review")</f>
        <v>Threshold Review</v>
      </c>
    </row>
    <row r="12" customFormat="false" ht="15" hidden="false" customHeight="false" outlineLevel="0" collapsed="false">
      <c r="A12" s="4" t="s">
        <v>61</v>
      </c>
      <c r="B12" s="5" t="n">
        <v>138</v>
      </c>
      <c r="C12" s="5" t="n">
        <v>10</v>
      </c>
      <c r="D12" s="5" t="n">
        <f aca="false">B12-C12</f>
        <v>128</v>
      </c>
      <c r="E12" s="6" t="n">
        <f aca="false">C12/B12</f>
        <v>0.072463768115942</v>
      </c>
      <c r="F12" s="5" t="str">
        <f aca="false">IF(E12&lt;=0.03,"Pass","Threshold Review")</f>
        <v>Threshold Review</v>
      </c>
    </row>
    <row r="13" customFormat="false" ht="15" hidden="false" customHeight="false" outlineLevel="0" collapsed="false">
      <c r="A13" s="4" t="s">
        <v>67</v>
      </c>
      <c r="B13" s="5" t="n">
        <v>152</v>
      </c>
      <c r="C13" s="5" t="n">
        <v>0</v>
      </c>
      <c r="D13" s="5" t="n">
        <f aca="false">B13-C13</f>
        <v>152</v>
      </c>
      <c r="E13" s="6" t="n">
        <f aca="false">C13/B13</f>
        <v>0</v>
      </c>
      <c r="F13" s="5" t="str">
        <f aca="false">IF(E13&lt;=0.03,"Pass","Threshold Review")</f>
        <v>Pass</v>
      </c>
    </row>
    <row r="14" customFormat="false" ht="15" hidden="false" customHeight="false" outlineLevel="0" collapsed="false">
      <c r="A14" s="4" t="s">
        <v>72</v>
      </c>
      <c r="B14" s="5" t="n">
        <v>78</v>
      </c>
      <c r="C14" s="5" t="n">
        <v>8</v>
      </c>
      <c r="D14" s="5" t="n">
        <f aca="false">B14-C14</f>
        <v>70</v>
      </c>
      <c r="E14" s="6" t="n">
        <f aca="false">C14/B14</f>
        <v>0.102564102564103</v>
      </c>
      <c r="F14" s="5" t="str">
        <f aca="false">IF(E14&lt;=0.03,"Pass","Threshold Review")</f>
        <v>Threshold Review</v>
      </c>
    </row>
    <row r="15" customFormat="false" ht="15" hidden="false" customHeight="false" outlineLevel="0" collapsed="false">
      <c r="A15" s="4" t="s">
        <v>77</v>
      </c>
      <c r="B15" s="5" t="n">
        <v>186</v>
      </c>
      <c r="C15" s="5" t="n">
        <v>3</v>
      </c>
      <c r="D15" s="5" t="n">
        <f aca="false">B15-C15</f>
        <v>183</v>
      </c>
      <c r="E15" s="6" t="n">
        <f aca="false">C15/B15</f>
        <v>0.0161290322580645</v>
      </c>
      <c r="F15" s="5" t="str">
        <f aca="false">IF(E15&lt;=0.03,"Pass","Threshold Review")</f>
        <v>Pass</v>
      </c>
    </row>
    <row r="16" customFormat="false" ht="15" hidden="false" customHeight="false" outlineLevel="0" collapsed="false">
      <c r="A16" s="4" t="s">
        <v>80</v>
      </c>
      <c r="B16" s="5" t="n">
        <v>50</v>
      </c>
      <c r="C16" s="5" t="n">
        <v>8</v>
      </c>
      <c r="D16" s="5" t="n">
        <f aca="false">B16-C16</f>
        <v>42</v>
      </c>
      <c r="E16" s="6" t="n">
        <f aca="false">C16/B16</f>
        <v>0.16</v>
      </c>
      <c r="F16" s="5" t="str">
        <f aca="false">IF(E16&lt;=0.03,"Pass","Threshold Review")</f>
        <v>Threshold Review</v>
      </c>
    </row>
    <row r="17" customFormat="false" ht="15" hidden="false" customHeight="false" outlineLevel="0" collapsed="false">
      <c r="A17" s="4" t="s">
        <v>83</v>
      </c>
      <c r="B17" s="5" t="n">
        <v>129</v>
      </c>
      <c r="C17" s="5" t="n">
        <v>10</v>
      </c>
      <c r="D17" s="5" t="n">
        <f aca="false">B17-C17</f>
        <v>119</v>
      </c>
      <c r="E17" s="6" t="n">
        <f aca="false">C17/B17</f>
        <v>0.0775193798449612</v>
      </c>
      <c r="F17" s="5" t="str">
        <f aca="false">IF(E17&lt;=0.03,"Pass","Threshold Review")</f>
        <v>Threshold Review</v>
      </c>
    </row>
    <row r="18" customFormat="false" ht="15" hidden="false" customHeight="false" outlineLevel="0" collapsed="false">
      <c r="A18" s="4" t="s">
        <v>86</v>
      </c>
      <c r="B18" s="5" t="n">
        <v>92</v>
      </c>
      <c r="C18" s="5" t="n">
        <v>8</v>
      </c>
      <c r="D18" s="5" t="n">
        <f aca="false">B18-C18</f>
        <v>84</v>
      </c>
      <c r="E18" s="6" t="n">
        <f aca="false">C18/B18</f>
        <v>0.0869565217391304</v>
      </c>
      <c r="F18" s="5" t="str">
        <f aca="false">IF(E18&lt;=0.03,"Pass","Threshold Review")</f>
        <v>Threshold Review</v>
      </c>
    </row>
    <row r="19" customFormat="false" ht="15" hidden="false" customHeight="false" outlineLevel="0" collapsed="false">
      <c r="A19" s="4" t="s">
        <v>89</v>
      </c>
      <c r="B19" s="5" t="n">
        <v>163</v>
      </c>
      <c r="C19" s="5" t="n">
        <v>3</v>
      </c>
      <c r="D19" s="5" t="n">
        <f aca="false">B19-C19</f>
        <v>160</v>
      </c>
      <c r="E19" s="6" t="n">
        <f aca="false">C19/B19</f>
        <v>0.0184049079754601</v>
      </c>
      <c r="F19" s="5" t="str">
        <f aca="false">IF(E19&lt;=0.03,"Pass","Threshold Review")</f>
        <v>Pass</v>
      </c>
    </row>
    <row r="20" customFormat="false" ht="15" hidden="false" customHeight="false" outlineLevel="0" collapsed="false">
      <c r="A20" s="4" t="s">
        <v>92</v>
      </c>
      <c r="B20" s="5" t="n">
        <v>117</v>
      </c>
      <c r="C20" s="5" t="n">
        <v>11</v>
      </c>
      <c r="D20" s="5" t="n">
        <f aca="false">B20-C20</f>
        <v>106</v>
      </c>
      <c r="E20" s="6" t="n">
        <f aca="false">C20/B20</f>
        <v>0.094017094017094</v>
      </c>
      <c r="F20" s="5" t="str">
        <f aca="false">IF(E20&lt;=0.03,"Pass","Threshold Review")</f>
        <v>Threshold Review</v>
      </c>
    </row>
    <row r="21" customFormat="false" ht="15" hidden="false" customHeight="false" outlineLevel="0" collapsed="false">
      <c r="A21" s="4" t="s">
        <v>95</v>
      </c>
      <c r="B21" s="5" t="n">
        <v>156</v>
      </c>
      <c r="C21" s="5" t="n">
        <v>7</v>
      </c>
      <c r="D21" s="5" t="n">
        <f aca="false">B21-C21</f>
        <v>149</v>
      </c>
      <c r="E21" s="6" t="n">
        <f aca="false">C21/B21</f>
        <v>0.0448717948717949</v>
      </c>
      <c r="F21" s="5" t="str">
        <f aca="false">IF(E21&lt;=0.03,"Pass","Threshold Review")</f>
        <v>Threshold Review</v>
      </c>
    </row>
    <row r="22" customFormat="false" ht="15" hidden="false" customHeight="false" outlineLevel="0" collapsed="false">
      <c r="A22" s="4" t="s">
        <v>98</v>
      </c>
      <c r="B22" s="5" t="n">
        <v>193</v>
      </c>
      <c r="C22" s="5" t="n">
        <v>8</v>
      </c>
      <c r="D22" s="5" t="n">
        <f aca="false">B22-C22</f>
        <v>185</v>
      </c>
      <c r="E22" s="6" t="n">
        <f aca="false">C22/B22</f>
        <v>0.0414507772020725</v>
      </c>
      <c r="F22" s="5" t="str">
        <f aca="false">IF(E22&lt;=0.03,"Pass","Threshold Review")</f>
        <v>Threshold Review</v>
      </c>
    </row>
    <row r="23" customFormat="false" ht="15" hidden="false" customHeight="false" outlineLevel="0" collapsed="false">
      <c r="A23" s="4" t="s">
        <v>101</v>
      </c>
      <c r="B23" s="5" t="n">
        <v>123</v>
      </c>
      <c r="C23" s="5" t="n">
        <v>3</v>
      </c>
      <c r="D23" s="5" t="n">
        <f aca="false">B23-C23</f>
        <v>120</v>
      </c>
      <c r="E23" s="6" t="n">
        <f aca="false">C23/B23</f>
        <v>0.024390243902439</v>
      </c>
      <c r="F23" s="5" t="str">
        <f aca="false">IF(E23&lt;=0.03,"Pass","Threshold Review")</f>
        <v>Pass</v>
      </c>
    </row>
    <row r="24" customFormat="false" ht="15" hidden="false" customHeight="false" outlineLevel="0" collapsed="false">
      <c r="A24" s="4" t="s">
        <v>104</v>
      </c>
      <c r="B24" s="5" t="n">
        <v>55</v>
      </c>
      <c r="C24" s="5" t="n">
        <v>1</v>
      </c>
      <c r="D24" s="5" t="n">
        <f aca="false">B24-C24</f>
        <v>54</v>
      </c>
      <c r="E24" s="6" t="n">
        <f aca="false">C24/B24</f>
        <v>0.0181818181818182</v>
      </c>
      <c r="F24" s="5" t="str">
        <f aca="false">IF(E24&lt;=0.03,"Pass","Threshold Review")</f>
        <v>Pass</v>
      </c>
    </row>
    <row r="25" customFormat="false" ht="15" hidden="false" customHeight="false" outlineLevel="0" collapsed="false">
      <c r="A25" s="4" t="s">
        <v>107</v>
      </c>
      <c r="B25" s="5" t="n">
        <v>128</v>
      </c>
      <c r="C25" s="5" t="n">
        <v>1</v>
      </c>
      <c r="D25" s="5" t="n">
        <f aca="false">B25-C25</f>
        <v>127</v>
      </c>
      <c r="E25" s="6" t="n">
        <f aca="false">C25/B25</f>
        <v>0.0078125</v>
      </c>
      <c r="F25" s="5" t="str">
        <f aca="false">IF(E25&lt;=0.03,"Pass","Threshold Review")</f>
        <v>Pass</v>
      </c>
    </row>
    <row r="26" customFormat="false" ht="15" hidden="false" customHeight="false" outlineLevel="0" collapsed="false">
      <c r="A26" s="4" t="s">
        <v>109</v>
      </c>
      <c r="B26" s="5" t="n">
        <v>198</v>
      </c>
      <c r="C26" s="5" t="n">
        <v>0</v>
      </c>
      <c r="D26" s="5" t="n">
        <f aca="false">B26-C26</f>
        <v>198</v>
      </c>
      <c r="E26" s="6" t="n">
        <f aca="false">C26/B26</f>
        <v>0</v>
      </c>
      <c r="F26" s="5" t="str">
        <f aca="false">IF(E26&lt;=0.03,"Pass","Threshold Review")</f>
        <v>Pass</v>
      </c>
    </row>
    <row r="27" customFormat="false" ht="15" hidden="false" customHeight="false" outlineLevel="0" collapsed="false">
      <c r="A27" s="4" t="s">
        <v>111</v>
      </c>
      <c r="B27" s="5" t="n">
        <v>64</v>
      </c>
      <c r="C27" s="5" t="n">
        <v>6</v>
      </c>
      <c r="D27" s="5" t="n">
        <f aca="false">B27-C27</f>
        <v>58</v>
      </c>
      <c r="E27" s="6" t="n">
        <f aca="false">C27/B27</f>
        <v>0.09375</v>
      </c>
      <c r="F27" s="5" t="str">
        <f aca="false">IF(E27&lt;=0.03,"Pass","Threshold Review")</f>
        <v>Threshold Review</v>
      </c>
    </row>
    <row r="28" customFormat="false" ht="15" hidden="false" customHeight="false" outlineLevel="0" collapsed="false">
      <c r="A28" s="4" t="s">
        <v>113</v>
      </c>
      <c r="B28" s="5" t="n">
        <v>126</v>
      </c>
      <c r="C28" s="5" t="n">
        <v>5</v>
      </c>
      <c r="D28" s="5" t="n">
        <f aca="false">B28-C28</f>
        <v>121</v>
      </c>
      <c r="E28" s="6" t="n">
        <f aca="false">C28/B28</f>
        <v>0.0396825396825397</v>
      </c>
      <c r="F28" s="5" t="str">
        <f aca="false">IF(E28&lt;=0.03,"Pass","Threshold Review")</f>
        <v>Threshold Review</v>
      </c>
    </row>
    <row r="29" customFormat="false" ht="15" hidden="false" customHeight="false" outlineLevel="0" collapsed="false">
      <c r="A29" s="4" t="s">
        <v>115</v>
      </c>
      <c r="B29" s="5" t="n">
        <v>192</v>
      </c>
      <c r="C29" s="5" t="n">
        <v>10</v>
      </c>
      <c r="D29" s="5" t="n">
        <f aca="false">B29-C29</f>
        <v>182</v>
      </c>
      <c r="E29" s="6" t="n">
        <f aca="false">C29/B29</f>
        <v>0.0520833333333333</v>
      </c>
      <c r="F29" s="5" t="str">
        <f aca="false">IF(E29&lt;=0.03,"Pass","Threshold Review")</f>
        <v>Threshold Review</v>
      </c>
    </row>
    <row r="30" customFormat="false" ht="15" hidden="false" customHeight="false" outlineLevel="0" collapsed="false">
      <c r="A30" s="4" t="s">
        <v>117</v>
      </c>
      <c r="B30" s="5" t="n">
        <v>200</v>
      </c>
      <c r="C30" s="5" t="n">
        <v>9</v>
      </c>
      <c r="D30" s="5" t="n">
        <f aca="false">B30-C30</f>
        <v>191</v>
      </c>
      <c r="E30" s="6" t="n">
        <f aca="false">C30/B30</f>
        <v>0.045</v>
      </c>
      <c r="F30" s="5" t="str">
        <f aca="false">IF(E30&lt;=0.03,"Pass","Threshold Review")</f>
        <v>Threshold Review</v>
      </c>
    </row>
    <row r="31" customFormat="false" ht="15" hidden="false" customHeight="false" outlineLevel="0" collapsed="false">
      <c r="A31" s="4" t="s">
        <v>119</v>
      </c>
      <c r="B31" s="5" t="n">
        <v>125</v>
      </c>
      <c r="C31" s="5" t="n">
        <v>3</v>
      </c>
      <c r="D31" s="5" t="n">
        <f aca="false">B31-C31</f>
        <v>122</v>
      </c>
      <c r="E31" s="6" t="n">
        <f aca="false">C31/B31</f>
        <v>0.024</v>
      </c>
      <c r="F31" s="5" t="str">
        <f aca="false">IF(E31&lt;=0.03,"Pass","Threshold Review")</f>
        <v>Pass</v>
      </c>
    </row>
    <row r="32" customFormat="false" ht="15" hidden="false" customHeight="false" outlineLevel="0" collapsed="false">
      <c r="A32" s="4" t="s">
        <v>121</v>
      </c>
      <c r="B32" s="5" t="n">
        <v>75</v>
      </c>
      <c r="C32" s="5" t="n">
        <v>12</v>
      </c>
      <c r="D32" s="5" t="n">
        <f aca="false">B32-C32</f>
        <v>63</v>
      </c>
      <c r="E32" s="6" t="n">
        <f aca="false">C32/B32</f>
        <v>0.16</v>
      </c>
      <c r="F32" s="5" t="str">
        <f aca="false">IF(E32&lt;=0.03,"Pass","Threshold Review")</f>
        <v>Threshold Review</v>
      </c>
    </row>
    <row r="33" customFormat="false" ht="15" hidden="false" customHeight="false" outlineLevel="0" collapsed="false">
      <c r="A33" s="4" t="s">
        <v>123</v>
      </c>
      <c r="B33" s="5" t="n">
        <v>151</v>
      </c>
      <c r="C33" s="5" t="n">
        <v>6</v>
      </c>
      <c r="D33" s="5" t="n">
        <f aca="false">B33-C33</f>
        <v>145</v>
      </c>
      <c r="E33" s="6" t="n">
        <f aca="false">C33/B33</f>
        <v>0.0397350993377483</v>
      </c>
      <c r="F33" s="5" t="str">
        <f aca="false">IF(E33&lt;=0.03,"Pass","Threshold Review")</f>
        <v>Threshold Review</v>
      </c>
    </row>
    <row r="34" customFormat="false" ht="15" hidden="false" customHeight="false" outlineLevel="0" collapsed="false">
      <c r="A34" s="4" t="s">
        <v>125</v>
      </c>
      <c r="B34" s="5" t="n">
        <v>94</v>
      </c>
      <c r="C34" s="5" t="n">
        <v>4</v>
      </c>
      <c r="D34" s="5" t="n">
        <f aca="false">B34-C34</f>
        <v>90</v>
      </c>
      <c r="E34" s="6" t="n">
        <f aca="false">C34/B34</f>
        <v>0.0425531914893617</v>
      </c>
      <c r="F34" s="5" t="str">
        <f aca="false">IF(E34&lt;=0.03,"Pass","Threshold Review")</f>
        <v>Threshold Review</v>
      </c>
    </row>
    <row r="35" customFormat="false" ht="15" hidden="false" customHeight="false" outlineLevel="0" collapsed="false">
      <c r="A35" s="4" t="s">
        <v>127</v>
      </c>
      <c r="B35" s="5" t="n">
        <v>167</v>
      </c>
      <c r="C35" s="5" t="n">
        <v>5</v>
      </c>
      <c r="D35" s="5" t="n">
        <f aca="false">B35-C35</f>
        <v>162</v>
      </c>
      <c r="E35" s="6" t="n">
        <f aca="false">C35/B35</f>
        <v>0.029940119760479</v>
      </c>
      <c r="F35" s="5" t="str">
        <f aca="false">IF(E35&lt;=0.03,"Pass","Threshold Review")</f>
        <v>Pass</v>
      </c>
    </row>
    <row r="36" customFormat="false" ht="15" hidden="false" customHeight="false" outlineLevel="0" collapsed="false">
      <c r="A36" s="4" t="s">
        <v>129</v>
      </c>
      <c r="B36" s="5" t="n">
        <v>82</v>
      </c>
      <c r="C36" s="5" t="n">
        <v>2</v>
      </c>
      <c r="D36" s="5" t="n">
        <f aca="false">B36-C36</f>
        <v>80</v>
      </c>
      <c r="E36" s="6" t="n">
        <f aca="false">C36/B36</f>
        <v>0.024390243902439</v>
      </c>
      <c r="F36" s="5" t="str">
        <f aca="false">IF(E36&lt;=0.03,"Pass","Threshold Review")</f>
        <v>Pass</v>
      </c>
    </row>
    <row r="37" customFormat="false" ht="15" hidden="false" customHeight="false" outlineLevel="0" collapsed="false">
      <c r="A37" s="4" t="s">
        <v>131</v>
      </c>
      <c r="B37" s="5" t="n">
        <v>164</v>
      </c>
      <c r="C37" s="5" t="n">
        <v>11</v>
      </c>
      <c r="D37" s="5" t="n">
        <f aca="false">B37-C37</f>
        <v>153</v>
      </c>
      <c r="E37" s="6" t="n">
        <f aca="false">C37/B37</f>
        <v>0.0670731707317073</v>
      </c>
      <c r="F37" s="5" t="str">
        <f aca="false">IF(E37&lt;=0.03,"Pass","Threshold Review")</f>
        <v>Threshold Review</v>
      </c>
    </row>
    <row r="38" customFormat="false" ht="15" hidden="false" customHeight="false" outlineLevel="0" collapsed="false">
      <c r="A38" s="4" t="s">
        <v>133</v>
      </c>
      <c r="B38" s="5" t="n">
        <v>149</v>
      </c>
      <c r="C38" s="5" t="n">
        <v>6</v>
      </c>
      <c r="D38" s="5" t="n">
        <f aca="false">B38-C38</f>
        <v>143</v>
      </c>
      <c r="E38" s="6" t="n">
        <f aca="false">C38/B38</f>
        <v>0.0402684563758389</v>
      </c>
      <c r="F38" s="5" t="str">
        <f aca="false">IF(E38&lt;=0.03,"Pass","Threshold Review")</f>
        <v>Threshold Review</v>
      </c>
    </row>
    <row r="39" customFormat="false" ht="15" hidden="false" customHeight="false" outlineLevel="0" collapsed="false">
      <c r="A39" s="4" t="s">
        <v>135</v>
      </c>
      <c r="B39" s="5" t="n">
        <v>193</v>
      </c>
      <c r="C39" s="5" t="n">
        <v>11</v>
      </c>
      <c r="D39" s="5" t="n">
        <f aca="false">B39-C39</f>
        <v>182</v>
      </c>
      <c r="E39" s="6" t="n">
        <f aca="false">C39/B39</f>
        <v>0.0569948186528497</v>
      </c>
      <c r="F39" s="5" t="str">
        <f aca="false">IF(E39&lt;=0.03,"Pass","Threshold Review")</f>
        <v>Threshold Review</v>
      </c>
    </row>
    <row r="40" customFormat="false" ht="15" hidden="false" customHeight="false" outlineLevel="0" collapsed="false">
      <c r="A40" s="4" t="s">
        <v>137</v>
      </c>
      <c r="B40" s="5" t="n">
        <v>95</v>
      </c>
      <c r="C40" s="5" t="n">
        <v>5</v>
      </c>
      <c r="D40" s="5" t="n">
        <f aca="false">B40-C40</f>
        <v>90</v>
      </c>
      <c r="E40" s="6" t="n">
        <f aca="false">C40/B40</f>
        <v>0.0526315789473684</v>
      </c>
      <c r="F40" s="5" t="str">
        <f aca="false">IF(E40&lt;=0.03,"Pass","Threshold Review")</f>
        <v>Threshold Review</v>
      </c>
    </row>
    <row r="41" customFormat="false" ht="15" hidden="false" customHeight="false" outlineLevel="0" collapsed="false">
      <c r="A41" s="4" t="s">
        <v>139</v>
      </c>
      <c r="B41" s="5" t="n">
        <v>114</v>
      </c>
      <c r="C41" s="5" t="n">
        <v>3</v>
      </c>
      <c r="D41" s="5" t="n">
        <f aca="false">B41-C41</f>
        <v>111</v>
      </c>
      <c r="E41" s="6" t="n">
        <f aca="false">C41/B41</f>
        <v>0.0263157894736842</v>
      </c>
      <c r="F41" s="5" t="str">
        <f aca="false">IF(E41&lt;=0.03,"Pass","Threshold Review")</f>
        <v>Pass</v>
      </c>
    </row>
    <row r="42" customFormat="false" ht="15" hidden="false" customHeight="false" outlineLevel="0" collapsed="false">
      <c r="A42" s="4" t="s">
        <v>141</v>
      </c>
      <c r="B42" s="5" t="n">
        <v>120</v>
      </c>
      <c r="C42" s="5" t="n">
        <v>7</v>
      </c>
      <c r="D42" s="5" t="n">
        <f aca="false">B42-C42</f>
        <v>113</v>
      </c>
      <c r="E42" s="6" t="n">
        <f aca="false">C42/B42</f>
        <v>0.0583333333333333</v>
      </c>
      <c r="F42" s="5" t="str">
        <f aca="false">IF(E42&lt;=0.03,"Pass","Threshold Review")</f>
        <v>Threshold Review</v>
      </c>
    </row>
    <row r="43" customFormat="false" ht="15" hidden="false" customHeight="false" outlineLevel="0" collapsed="false">
      <c r="A43" s="4" t="s">
        <v>143</v>
      </c>
      <c r="B43" s="5" t="n">
        <v>196</v>
      </c>
      <c r="C43" s="5" t="n">
        <v>11</v>
      </c>
      <c r="D43" s="5" t="n">
        <f aca="false">B43-C43</f>
        <v>185</v>
      </c>
      <c r="E43" s="6" t="n">
        <f aca="false">C43/B43</f>
        <v>0.0561224489795918</v>
      </c>
      <c r="F43" s="5" t="str">
        <f aca="false">IF(E43&lt;=0.03,"Pass","Threshold Review")</f>
        <v>Threshold Review</v>
      </c>
    </row>
    <row r="44" customFormat="false" ht="15" hidden="false" customHeight="false" outlineLevel="0" collapsed="false">
      <c r="A44" s="4" t="s">
        <v>145</v>
      </c>
      <c r="B44" s="5" t="n">
        <v>147</v>
      </c>
      <c r="C44" s="5" t="n">
        <v>2</v>
      </c>
      <c r="D44" s="5" t="n">
        <f aca="false">B44-C44</f>
        <v>145</v>
      </c>
      <c r="E44" s="6" t="n">
        <f aca="false">C44/B44</f>
        <v>0.0136054421768707</v>
      </c>
      <c r="F44" s="5" t="str">
        <f aca="false">IF(E44&lt;=0.03,"Pass","Threshold Review")</f>
        <v>Pass</v>
      </c>
    </row>
    <row r="45" customFormat="false" ht="15" hidden="false" customHeight="false" outlineLevel="0" collapsed="false">
      <c r="A45" s="4" t="s">
        <v>147</v>
      </c>
      <c r="B45" s="5" t="n">
        <v>172</v>
      </c>
      <c r="C45" s="5" t="n">
        <v>9</v>
      </c>
      <c r="D45" s="5" t="n">
        <f aca="false">B45-C45</f>
        <v>163</v>
      </c>
      <c r="E45" s="6" t="n">
        <f aca="false">C45/B45</f>
        <v>0.0523255813953488</v>
      </c>
      <c r="F45" s="5" t="str">
        <f aca="false">IF(E45&lt;=0.03,"Pass","Threshold Review")</f>
        <v>Threshold Review</v>
      </c>
    </row>
    <row r="46" customFormat="false" ht="15" hidden="false" customHeight="false" outlineLevel="0" collapsed="false">
      <c r="A46" s="4" t="s">
        <v>149</v>
      </c>
      <c r="B46" s="5" t="n">
        <v>171</v>
      </c>
      <c r="C46" s="5" t="n">
        <v>10</v>
      </c>
      <c r="D46" s="5" t="n">
        <f aca="false">B46-C46</f>
        <v>161</v>
      </c>
      <c r="E46" s="6" t="n">
        <f aca="false">C46/B46</f>
        <v>0.0584795321637427</v>
      </c>
      <c r="F46" s="5" t="str">
        <f aca="false">IF(E46&lt;=0.03,"Pass","Threshold Review")</f>
        <v>Threshold Review</v>
      </c>
    </row>
    <row r="47" customFormat="false" ht="15" hidden="false" customHeight="false" outlineLevel="0" collapsed="false">
      <c r="A47" s="4" t="s">
        <v>151</v>
      </c>
      <c r="B47" s="5" t="n">
        <v>93</v>
      </c>
      <c r="C47" s="5" t="n">
        <v>1</v>
      </c>
      <c r="D47" s="5" t="n">
        <f aca="false">B47-C47</f>
        <v>92</v>
      </c>
      <c r="E47" s="6" t="n">
        <f aca="false">C47/B47</f>
        <v>0.010752688172043</v>
      </c>
      <c r="F47" s="5" t="str">
        <f aca="false">IF(E47&lt;=0.03,"Pass","Threshold Review")</f>
        <v>Pass</v>
      </c>
    </row>
    <row r="48" customFormat="false" ht="15" hidden="false" customHeight="false" outlineLevel="0" collapsed="false">
      <c r="A48" s="4" t="s">
        <v>153</v>
      </c>
      <c r="B48" s="5" t="n">
        <v>186</v>
      </c>
      <c r="C48" s="5" t="n">
        <v>3</v>
      </c>
      <c r="D48" s="5" t="n">
        <f aca="false">B48-C48</f>
        <v>183</v>
      </c>
      <c r="E48" s="6" t="n">
        <f aca="false">C48/B48</f>
        <v>0.0161290322580645</v>
      </c>
      <c r="F48" s="5" t="str">
        <f aca="false">IF(E48&lt;=0.03,"Pass","Threshold Review")</f>
        <v>Pass</v>
      </c>
    </row>
    <row r="49" customFormat="false" ht="15" hidden="false" customHeight="false" outlineLevel="0" collapsed="false">
      <c r="A49" s="4" t="s">
        <v>155</v>
      </c>
      <c r="B49" s="5" t="n">
        <v>167</v>
      </c>
      <c r="C49" s="5" t="n">
        <v>8</v>
      </c>
      <c r="D49" s="5" t="n">
        <f aca="false">B49-C49</f>
        <v>159</v>
      </c>
      <c r="E49" s="6" t="n">
        <f aca="false">C49/B49</f>
        <v>0.0479041916167665</v>
      </c>
      <c r="F49" s="5" t="str">
        <f aca="false">IF(E49&lt;=0.03,"Pass","Threshold Review")</f>
        <v>Threshold Review</v>
      </c>
    </row>
    <row r="50" customFormat="false" ht="15" hidden="false" customHeight="false" outlineLevel="0" collapsed="false">
      <c r="A50" s="4" t="s">
        <v>157</v>
      </c>
      <c r="B50" s="5" t="n">
        <v>53</v>
      </c>
      <c r="C50" s="5" t="n">
        <v>1</v>
      </c>
      <c r="D50" s="5" t="n">
        <f aca="false">B50-C50</f>
        <v>52</v>
      </c>
      <c r="E50" s="6" t="n">
        <f aca="false">C50/B50</f>
        <v>0.0188679245283019</v>
      </c>
      <c r="F50" s="5" t="str">
        <f aca="false">IF(E50&lt;=0.03,"Pass","Threshold Review")</f>
        <v>Pass</v>
      </c>
    </row>
    <row r="51" customFormat="false" ht="15" hidden="false" customHeight="false" outlineLevel="0" collapsed="false">
      <c r="A51" s="4" t="s">
        <v>159</v>
      </c>
      <c r="B51" s="5" t="n">
        <v>134</v>
      </c>
      <c r="C51" s="5" t="n">
        <v>12</v>
      </c>
      <c r="D51" s="5" t="n">
        <f aca="false">B51-C51</f>
        <v>122</v>
      </c>
      <c r="E51" s="6" t="n">
        <f aca="false">C51/B51</f>
        <v>0.0895522388059701</v>
      </c>
      <c r="F51" s="5" t="str">
        <f aca="false">IF(E51&lt;=0.03,"Pass","Threshold Review")</f>
        <v>Threshold Review</v>
      </c>
    </row>
    <row r="52" customFormat="false" ht="15" hidden="false" customHeight="false" outlineLevel="0" collapsed="false">
      <c r="A52" s="4" t="s">
        <v>161</v>
      </c>
      <c r="B52" s="5" t="n">
        <v>176</v>
      </c>
      <c r="C52" s="5" t="n">
        <v>1</v>
      </c>
      <c r="D52" s="5" t="n">
        <f aca="false">B52-C52</f>
        <v>175</v>
      </c>
      <c r="E52" s="6" t="n">
        <f aca="false">C52/B52</f>
        <v>0.00568181818181818</v>
      </c>
      <c r="F52" s="5" t="str">
        <f aca="false">IF(E52&lt;=0.03,"Pass","Threshold Review")</f>
        <v>Pass</v>
      </c>
    </row>
    <row r="53" customFormat="false" ht="15" hidden="false" customHeight="false" outlineLevel="0" collapsed="false">
      <c r="A53" s="4" t="s">
        <v>163</v>
      </c>
      <c r="B53" s="5" t="n">
        <v>135</v>
      </c>
      <c r="C53" s="5" t="n">
        <v>10</v>
      </c>
      <c r="D53" s="5" t="n">
        <f aca="false">B53-C53</f>
        <v>125</v>
      </c>
      <c r="E53" s="6" t="n">
        <f aca="false">C53/B53</f>
        <v>0.0740740740740741</v>
      </c>
      <c r="F53" s="5" t="str">
        <f aca="false">IF(E53&lt;=0.03,"Pass","Threshold Review")</f>
        <v>Threshold Review</v>
      </c>
    </row>
    <row r="54" customFormat="false" ht="15" hidden="false" customHeight="false" outlineLevel="0" collapsed="false">
      <c r="A54" s="4" t="s">
        <v>165</v>
      </c>
      <c r="B54" s="5" t="n">
        <v>51</v>
      </c>
      <c r="C54" s="5" t="n">
        <v>9</v>
      </c>
      <c r="D54" s="5" t="n">
        <f aca="false">B54-C54</f>
        <v>42</v>
      </c>
      <c r="E54" s="6" t="n">
        <f aca="false">C54/B54</f>
        <v>0.176470588235294</v>
      </c>
      <c r="F54" s="5" t="str">
        <f aca="false">IF(E54&lt;=0.03,"Pass","Threshold Review")</f>
        <v>Threshold Review</v>
      </c>
    </row>
    <row r="55" customFormat="false" ht="15" hidden="false" customHeight="false" outlineLevel="0" collapsed="false">
      <c r="A55" s="4" t="s">
        <v>167</v>
      </c>
      <c r="B55" s="5" t="n">
        <v>186</v>
      </c>
      <c r="C55" s="5" t="n">
        <v>4</v>
      </c>
      <c r="D55" s="5" t="n">
        <f aca="false">B55-C55</f>
        <v>182</v>
      </c>
      <c r="E55" s="6" t="n">
        <f aca="false">C55/B55</f>
        <v>0.021505376344086</v>
      </c>
      <c r="F55" s="5" t="str">
        <f aca="false">IF(E55&lt;=0.03,"Pass","Threshold Review")</f>
        <v>Pass</v>
      </c>
    </row>
    <row r="56" customFormat="false" ht="15" hidden="false" customHeight="false" outlineLevel="0" collapsed="false">
      <c r="A56" s="4" t="s">
        <v>169</v>
      </c>
      <c r="B56" s="5" t="n">
        <v>53</v>
      </c>
      <c r="C56" s="5" t="n">
        <v>9</v>
      </c>
      <c r="D56" s="5" t="n">
        <f aca="false">B56-C56</f>
        <v>44</v>
      </c>
      <c r="E56" s="6" t="n">
        <f aca="false">C56/B56</f>
        <v>0.169811320754717</v>
      </c>
      <c r="F56" s="5" t="str">
        <f aca="false">IF(E56&lt;=0.03,"Pass","Threshold Review")</f>
        <v>Threshold Review</v>
      </c>
    </row>
    <row r="57" customFormat="false" ht="15" hidden="false" customHeight="false" outlineLevel="0" collapsed="false">
      <c r="A57" s="4" t="s">
        <v>171</v>
      </c>
      <c r="B57" s="5" t="n">
        <v>131</v>
      </c>
      <c r="C57" s="5" t="n">
        <v>6</v>
      </c>
      <c r="D57" s="5" t="n">
        <f aca="false">B57-C57</f>
        <v>125</v>
      </c>
      <c r="E57" s="6" t="n">
        <f aca="false">C57/B57</f>
        <v>0.0458015267175573</v>
      </c>
      <c r="F57" s="5" t="str">
        <f aca="false">IF(E57&lt;=0.03,"Pass","Threshold Review")</f>
        <v>Threshold Review</v>
      </c>
    </row>
    <row r="58" customFormat="false" ht="15" hidden="false" customHeight="false" outlineLevel="0" collapsed="false">
      <c r="A58" s="4" t="s">
        <v>173</v>
      </c>
      <c r="B58" s="5" t="n">
        <v>116</v>
      </c>
      <c r="C58" s="5" t="n">
        <v>2</v>
      </c>
      <c r="D58" s="5" t="n">
        <f aca="false">B58-C58</f>
        <v>114</v>
      </c>
      <c r="E58" s="6" t="n">
        <f aca="false">C58/B58</f>
        <v>0.0172413793103448</v>
      </c>
      <c r="F58" s="5" t="str">
        <f aca="false">IF(E58&lt;=0.03,"Pass","Threshold Review")</f>
        <v>Pass</v>
      </c>
    </row>
    <row r="59" customFormat="false" ht="15" hidden="false" customHeight="false" outlineLevel="0" collapsed="false">
      <c r="A59" s="4" t="s">
        <v>175</v>
      </c>
      <c r="B59" s="5" t="n">
        <v>84</v>
      </c>
      <c r="C59" s="5" t="n">
        <v>9</v>
      </c>
      <c r="D59" s="5" t="n">
        <f aca="false">B59-C59</f>
        <v>75</v>
      </c>
      <c r="E59" s="6" t="n">
        <f aca="false">C59/B59</f>
        <v>0.107142857142857</v>
      </c>
      <c r="F59" s="5" t="str">
        <f aca="false">IF(E59&lt;=0.03,"Pass","Threshold Review")</f>
        <v>Threshold Review</v>
      </c>
    </row>
    <row r="60" customFormat="false" ht="15" hidden="false" customHeight="false" outlineLevel="0" collapsed="false">
      <c r="A60" s="4" t="s">
        <v>177</v>
      </c>
      <c r="B60" s="5" t="n">
        <v>62</v>
      </c>
      <c r="C60" s="5" t="n">
        <v>6</v>
      </c>
      <c r="D60" s="5" t="n">
        <f aca="false">B60-C60</f>
        <v>56</v>
      </c>
      <c r="E60" s="6" t="n">
        <f aca="false">C60/B60</f>
        <v>0.0967741935483871</v>
      </c>
      <c r="F60" s="5" t="str">
        <f aca="false">IF(E60&lt;=0.03,"Pass","Threshold Review")</f>
        <v>Threshold Review</v>
      </c>
    </row>
    <row r="61" customFormat="false" ht="15" hidden="false" customHeight="false" outlineLevel="0" collapsed="false">
      <c r="A61" s="4" t="s">
        <v>179</v>
      </c>
      <c r="B61" s="5" t="n">
        <v>59</v>
      </c>
      <c r="C61" s="5" t="n">
        <v>0</v>
      </c>
      <c r="D61" s="5" t="n">
        <f aca="false">B61-C61</f>
        <v>59</v>
      </c>
      <c r="E61" s="6" t="n">
        <f aca="false">C61/B61</f>
        <v>0</v>
      </c>
      <c r="F61" s="5" t="str">
        <f aca="false">IF(E61&lt;=0.03,"Pass","Threshold Review")</f>
        <v>Pass</v>
      </c>
    </row>
    <row r="62" customFormat="false" ht="15" hidden="false" customHeight="false" outlineLevel="0" collapsed="false">
      <c r="A62" s="4" t="s">
        <v>181</v>
      </c>
      <c r="B62" s="5" t="n">
        <v>137</v>
      </c>
      <c r="C62" s="5" t="n">
        <v>8</v>
      </c>
      <c r="D62" s="5" t="n">
        <f aca="false">B62-C62</f>
        <v>129</v>
      </c>
      <c r="E62" s="6" t="n">
        <f aca="false">C62/B62</f>
        <v>0.0583941605839416</v>
      </c>
      <c r="F62" s="5" t="str">
        <f aca="false">IF(E62&lt;=0.03,"Pass","Threshold Review")</f>
        <v>Threshold Review</v>
      </c>
    </row>
    <row r="63" customFormat="false" ht="15" hidden="false" customHeight="false" outlineLevel="0" collapsed="false">
      <c r="A63" s="4" t="s">
        <v>183</v>
      </c>
      <c r="B63" s="5" t="n">
        <v>108</v>
      </c>
      <c r="C63" s="5" t="n">
        <v>8</v>
      </c>
      <c r="D63" s="5" t="n">
        <f aca="false">B63-C63</f>
        <v>100</v>
      </c>
      <c r="E63" s="6" t="n">
        <f aca="false">C63/B63</f>
        <v>0.0740740740740741</v>
      </c>
      <c r="F63" s="5" t="str">
        <f aca="false">IF(E63&lt;=0.03,"Pass","Threshold Review")</f>
        <v>Threshold Review</v>
      </c>
    </row>
    <row r="64" customFormat="false" ht="15" hidden="false" customHeight="false" outlineLevel="0" collapsed="false">
      <c r="A64" s="4" t="s">
        <v>185</v>
      </c>
      <c r="B64" s="5" t="n">
        <v>124</v>
      </c>
      <c r="C64" s="5" t="n">
        <v>2</v>
      </c>
      <c r="D64" s="5" t="n">
        <f aca="false">B64-C64</f>
        <v>122</v>
      </c>
      <c r="E64" s="6" t="n">
        <f aca="false">C64/B64</f>
        <v>0.0161290322580645</v>
      </c>
      <c r="F64" s="5" t="str">
        <f aca="false">IF(E64&lt;=0.03,"Pass","Threshold Review")</f>
        <v>Pass</v>
      </c>
    </row>
    <row r="65" customFormat="false" ht="15" hidden="false" customHeight="false" outlineLevel="0" collapsed="false">
      <c r="A65" s="4" t="s">
        <v>187</v>
      </c>
      <c r="B65" s="5" t="n">
        <v>162</v>
      </c>
      <c r="C65" s="5" t="n">
        <v>0</v>
      </c>
      <c r="D65" s="5" t="n">
        <f aca="false">B65-C65</f>
        <v>162</v>
      </c>
      <c r="E65" s="6" t="n">
        <f aca="false">C65/B65</f>
        <v>0</v>
      </c>
      <c r="F65" s="5" t="str">
        <f aca="false">IF(E65&lt;=0.03,"Pass","Threshold Review")</f>
        <v>Pass</v>
      </c>
    </row>
    <row r="66" customFormat="false" ht="15" hidden="false" customHeight="false" outlineLevel="0" collapsed="false">
      <c r="A66" s="4" t="s">
        <v>189</v>
      </c>
      <c r="B66" s="5" t="n">
        <v>156</v>
      </c>
      <c r="C66" s="5" t="n">
        <v>3</v>
      </c>
      <c r="D66" s="5" t="n">
        <f aca="false">B66-C66</f>
        <v>153</v>
      </c>
      <c r="E66" s="6" t="n">
        <f aca="false">C66/B66</f>
        <v>0.0192307692307692</v>
      </c>
      <c r="F66" s="5" t="str">
        <f aca="false">IF(E66&lt;=0.03,"Pass","Threshold Review")</f>
        <v>Pass</v>
      </c>
    </row>
    <row r="67" customFormat="false" ht="15" hidden="false" customHeight="false" outlineLevel="0" collapsed="false">
      <c r="A67" s="4" t="s">
        <v>191</v>
      </c>
      <c r="B67" s="5" t="n">
        <v>98</v>
      </c>
      <c r="C67" s="5" t="n">
        <v>1</v>
      </c>
      <c r="D67" s="5" t="n">
        <f aca="false">B67-C67</f>
        <v>97</v>
      </c>
      <c r="E67" s="6" t="n">
        <f aca="false">C67/B67</f>
        <v>0.0102040816326531</v>
      </c>
      <c r="F67" s="5" t="str">
        <f aca="false">IF(E67&lt;=0.03,"Pass","Threshold Review")</f>
        <v>Pass</v>
      </c>
    </row>
    <row r="68" customFormat="false" ht="15" hidden="false" customHeight="false" outlineLevel="0" collapsed="false">
      <c r="A68" s="4" t="s">
        <v>193</v>
      </c>
      <c r="B68" s="5" t="n">
        <v>174</v>
      </c>
      <c r="C68" s="5" t="n">
        <v>2</v>
      </c>
      <c r="D68" s="5" t="n">
        <f aca="false">B68-C68</f>
        <v>172</v>
      </c>
      <c r="E68" s="6" t="n">
        <f aca="false">C68/B68</f>
        <v>0.0114942528735632</v>
      </c>
      <c r="F68" s="5" t="str">
        <f aca="false">IF(E68&lt;=0.03,"Pass","Threshold Review")</f>
        <v>Pass</v>
      </c>
    </row>
    <row r="69" customFormat="false" ht="15" hidden="false" customHeight="false" outlineLevel="0" collapsed="false">
      <c r="A69" s="4" t="s">
        <v>195</v>
      </c>
      <c r="B69" s="5" t="n">
        <v>119</v>
      </c>
      <c r="C69" s="5" t="n">
        <v>4</v>
      </c>
      <c r="D69" s="5" t="n">
        <f aca="false">B69-C69</f>
        <v>115</v>
      </c>
      <c r="E69" s="6" t="n">
        <f aca="false">C69/B69</f>
        <v>0.0336134453781513</v>
      </c>
      <c r="F69" s="5" t="str">
        <f aca="false">IF(E69&lt;=0.03,"Pass","Threshold Review")</f>
        <v>Threshold Review</v>
      </c>
    </row>
    <row r="70" customFormat="false" ht="15" hidden="false" customHeight="false" outlineLevel="0" collapsed="false">
      <c r="A70" s="4" t="s">
        <v>197</v>
      </c>
      <c r="B70" s="5" t="n">
        <v>143</v>
      </c>
      <c r="C70" s="5" t="n">
        <v>1</v>
      </c>
      <c r="D70" s="5" t="n">
        <f aca="false">B70-C70</f>
        <v>142</v>
      </c>
      <c r="E70" s="6" t="n">
        <f aca="false">C70/B70</f>
        <v>0.00699300699300699</v>
      </c>
      <c r="F70" s="5" t="str">
        <f aca="false">IF(E70&lt;=0.03,"Pass","Threshold Review")</f>
        <v>Pass</v>
      </c>
    </row>
    <row r="71" customFormat="false" ht="15" hidden="false" customHeight="false" outlineLevel="0" collapsed="false">
      <c r="A71" s="4" t="s">
        <v>199</v>
      </c>
      <c r="B71" s="5" t="n">
        <v>193</v>
      </c>
      <c r="C71" s="5" t="n">
        <v>3</v>
      </c>
      <c r="D71" s="5" t="n">
        <f aca="false">B71-C71</f>
        <v>190</v>
      </c>
      <c r="E71" s="6" t="n">
        <f aca="false">C71/B71</f>
        <v>0.0155440414507772</v>
      </c>
      <c r="F71" s="5" t="str">
        <f aca="false">IF(E71&lt;=0.03,"Pass","Threshold Review")</f>
        <v>Pass</v>
      </c>
    </row>
    <row r="72" customFormat="false" ht="15" hidden="false" customHeight="false" outlineLevel="0" collapsed="false">
      <c r="A72" s="4" t="s">
        <v>201</v>
      </c>
      <c r="B72" s="5" t="n">
        <v>193</v>
      </c>
      <c r="C72" s="5" t="n">
        <v>2</v>
      </c>
      <c r="D72" s="5" t="n">
        <f aca="false">B72-C72</f>
        <v>191</v>
      </c>
      <c r="E72" s="6" t="n">
        <f aca="false">C72/B72</f>
        <v>0.0103626943005181</v>
      </c>
      <c r="F72" s="5" t="str">
        <f aca="false">IF(E72&lt;=0.03,"Pass","Threshold Review")</f>
        <v>Pass</v>
      </c>
    </row>
    <row r="73" customFormat="false" ht="15" hidden="false" customHeight="false" outlineLevel="0" collapsed="false">
      <c r="A73" s="4" t="s">
        <v>203</v>
      </c>
      <c r="B73" s="5" t="n">
        <v>140</v>
      </c>
      <c r="C73" s="5" t="n">
        <v>10</v>
      </c>
      <c r="D73" s="5" t="n">
        <f aca="false">B73-C73</f>
        <v>130</v>
      </c>
      <c r="E73" s="6" t="n">
        <f aca="false">C73/B73</f>
        <v>0.0714285714285714</v>
      </c>
      <c r="F73" s="5" t="str">
        <f aca="false">IF(E73&lt;=0.03,"Pass","Threshold Review")</f>
        <v>Threshold Review</v>
      </c>
    </row>
    <row r="74" customFormat="false" ht="15" hidden="false" customHeight="false" outlineLevel="0" collapsed="false">
      <c r="A74" s="4" t="s">
        <v>205</v>
      </c>
      <c r="B74" s="5" t="n">
        <v>186</v>
      </c>
      <c r="C74" s="5" t="n">
        <v>1</v>
      </c>
      <c r="D74" s="5" t="n">
        <f aca="false">B74-C74</f>
        <v>185</v>
      </c>
      <c r="E74" s="6" t="n">
        <f aca="false">C74/B74</f>
        <v>0.00537634408602151</v>
      </c>
      <c r="F74" s="5" t="str">
        <f aca="false">IF(E74&lt;=0.03,"Pass","Threshold Review")</f>
        <v>Pass</v>
      </c>
    </row>
    <row r="75" customFormat="false" ht="15" hidden="false" customHeight="false" outlineLevel="0" collapsed="false">
      <c r="A75" s="4" t="s">
        <v>207</v>
      </c>
      <c r="B75" s="5" t="n">
        <v>79</v>
      </c>
      <c r="C75" s="5" t="n">
        <v>11</v>
      </c>
      <c r="D75" s="5" t="n">
        <f aca="false">B75-C75</f>
        <v>68</v>
      </c>
      <c r="E75" s="6" t="n">
        <f aca="false">C75/B75</f>
        <v>0.139240506329114</v>
      </c>
      <c r="F75" s="5" t="str">
        <f aca="false">IF(E75&lt;=0.03,"Pass","Threshold Review")</f>
        <v>Threshold Review</v>
      </c>
    </row>
    <row r="76" customFormat="false" ht="15" hidden="false" customHeight="false" outlineLevel="0" collapsed="false">
      <c r="A76" s="4" t="s">
        <v>209</v>
      </c>
      <c r="B76" s="5" t="n">
        <v>82</v>
      </c>
      <c r="C76" s="5" t="n">
        <v>2</v>
      </c>
      <c r="D76" s="5" t="n">
        <f aca="false">B76-C76</f>
        <v>80</v>
      </c>
      <c r="E76" s="6" t="n">
        <f aca="false">C76/B76</f>
        <v>0.024390243902439</v>
      </c>
      <c r="F76" s="5" t="str">
        <f aca="false">IF(E76&lt;=0.03,"Pass","Threshold Review")</f>
        <v>Pass</v>
      </c>
    </row>
    <row r="77" customFormat="false" ht="15" hidden="false" customHeight="false" outlineLevel="0" collapsed="false">
      <c r="A77" s="4" t="s">
        <v>211</v>
      </c>
      <c r="B77" s="5" t="n">
        <v>88</v>
      </c>
      <c r="C77" s="5" t="n">
        <v>8</v>
      </c>
      <c r="D77" s="5" t="n">
        <f aca="false">B77-C77</f>
        <v>80</v>
      </c>
      <c r="E77" s="6" t="n">
        <f aca="false">C77/B77</f>
        <v>0.0909090909090909</v>
      </c>
      <c r="F77" s="5" t="str">
        <f aca="false">IF(E77&lt;=0.03,"Pass","Threshold Review")</f>
        <v>Threshold Review</v>
      </c>
    </row>
    <row r="78" customFormat="false" ht="15" hidden="false" customHeight="false" outlineLevel="0" collapsed="false">
      <c r="A78" s="4" t="s">
        <v>213</v>
      </c>
      <c r="B78" s="5" t="n">
        <v>72</v>
      </c>
      <c r="C78" s="5" t="n">
        <v>0</v>
      </c>
      <c r="D78" s="5" t="n">
        <f aca="false">B78-C78</f>
        <v>72</v>
      </c>
      <c r="E78" s="6" t="n">
        <f aca="false">C78/B78</f>
        <v>0</v>
      </c>
      <c r="F78" s="5" t="str">
        <f aca="false">IF(E78&lt;=0.03,"Pass","Threshold Review")</f>
        <v>Pass</v>
      </c>
    </row>
    <row r="79" customFormat="false" ht="15" hidden="false" customHeight="false" outlineLevel="0" collapsed="false">
      <c r="A79" s="4" t="s">
        <v>215</v>
      </c>
      <c r="B79" s="5" t="n">
        <v>181</v>
      </c>
      <c r="C79" s="5" t="n">
        <v>10</v>
      </c>
      <c r="D79" s="5" t="n">
        <f aca="false">B79-C79</f>
        <v>171</v>
      </c>
      <c r="E79" s="6" t="n">
        <f aca="false">C79/B79</f>
        <v>0.0552486187845304</v>
      </c>
      <c r="F79" s="5" t="str">
        <f aca="false">IF(E79&lt;=0.03,"Pass","Threshold Review")</f>
        <v>Threshold Review</v>
      </c>
    </row>
    <row r="80" customFormat="false" ht="15" hidden="false" customHeight="false" outlineLevel="0" collapsed="false">
      <c r="A80" s="4" t="s">
        <v>217</v>
      </c>
      <c r="B80" s="5" t="n">
        <v>147</v>
      </c>
      <c r="C80" s="5" t="n">
        <v>2</v>
      </c>
      <c r="D80" s="5" t="n">
        <f aca="false">B80-C80</f>
        <v>145</v>
      </c>
      <c r="E80" s="6" t="n">
        <f aca="false">C80/B80</f>
        <v>0.0136054421768707</v>
      </c>
      <c r="F80" s="5" t="str">
        <f aca="false">IF(E80&lt;=0.03,"Pass","Threshold Review")</f>
        <v>Pass</v>
      </c>
    </row>
    <row r="81" customFormat="false" ht="15" hidden="false" customHeight="false" outlineLevel="0" collapsed="false">
      <c r="A81" s="4" t="s">
        <v>219</v>
      </c>
      <c r="B81" s="5" t="n">
        <v>140</v>
      </c>
      <c r="C81" s="5" t="n">
        <v>12</v>
      </c>
      <c r="D81" s="5" t="n">
        <f aca="false">B81-C81</f>
        <v>128</v>
      </c>
      <c r="E81" s="6" t="n">
        <f aca="false">C81/B81</f>
        <v>0.0857142857142857</v>
      </c>
      <c r="F81" s="5" t="str">
        <f aca="false">IF(E81&lt;=0.03,"Pass","Threshold Review")</f>
        <v>Threshold Review</v>
      </c>
    </row>
    <row r="82" customFormat="false" ht="15" hidden="false" customHeight="false" outlineLevel="0" collapsed="false">
      <c r="A82" s="4" t="s">
        <v>221</v>
      </c>
      <c r="B82" s="5" t="n">
        <v>109</v>
      </c>
      <c r="C82" s="5" t="n">
        <v>9</v>
      </c>
      <c r="D82" s="5" t="n">
        <f aca="false">B82-C82</f>
        <v>100</v>
      </c>
      <c r="E82" s="6" t="n">
        <f aca="false">C82/B82</f>
        <v>0.0825688073394496</v>
      </c>
      <c r="F82" s="5" t="str">
        <f aca="false">IF(E82&lt;=0.03,"Pass","Threshold Review")</f>
        <v>Threshold Review</v>
      </c>
    </row>
    <row r="83" customFormat="false" ht="15" hidden="false" customHeight="false" outlineLevel="0" collapsed="false">
      <c r="A83" s="4" t="s">
        <v>223</v>
      </c>
      <c r="B83" s="5" t="n">
        <v>91</v>
      </c>
      <c r="C83" s="5" t="n">
        <v>5</v>
      </c>
      <c r="D83" s="5" t="n">
        <f aca="false">B83-C83</f>
        <v>86</v>
      </c>
      <c r="E83" s="6" t="n">
        <f aca="false">C83/B83</f>
        <v>0.0549450549450549</v>
      </c>
      <c r="F83" s="5" t="str">
        <f aca="false">IF(E83&lt;=0.03,"Pass","Threshold Review")</f>
        <v>Threshold Review</v>
      </c>
    </row>
    <row r="84" customFormat="false" ht="15" hidden="false" customHeight="false" outlineLevel="0" collapsed="false">
      <c r="A84" s="4" t="s">
        <v>225</v>
      </c>
      <c r="B84" s="5" t="n">
        <v>63</v>
      </c>
      <c r="C84" s="5" t="n">
        <v>5</v>
      </c>
      <c r="D84" s="5" t="n">
        <f aca="false">B84-C84</f>
        <v>58</v>
      </c>
      <c r="E84" s="6" t="n">
        <f aca="false">C84/B84</f>
        <v>0.0793650793650794</v>
      </c>
      <c r="F84" s="5" t="str">
        <f aca="false">IF(E84&lt;=0.03,"Pass","Threshold Review")</f>
        <v>Threshold Review</v>
      </c>
    </row>
    <row r="85" customFormat="false" ht="15" hidden="false" customHeight="false" outlineLevel="0" collapsed="false">
      <c r="A85" s="4" t="s">
        <v>227</v>
      </c>
      <c r="B85" s="5" t="n">
        <v>161</v>
      </c>
      <c r="C85" s="5" t="n">
        <v>3</v>
      </c>
      <c r="D85" s="5" t="n">
        <f aca="false">B85-C85</f>
        <v>158</v>
      </c>
      <c r="E85" s="6" t="n">
        <f aca="false">C85/B85</f>
        <v>0.0186335403726708</v>
      </c>
      <c r="F85" s="5" t="str">
        <f aca="false">IF(E85&lt;=0.03,"Pass","Threshold Review")</f>
        <v>Pass</v>
      </c>
    </row>
    <row r="86" customFormat="false" ht="15" hidden="false" customHeight="false" outlineLevel="0" collapsed="false">
      <c r="A86" s="4" t="s">
        <v>229</v>
      </c>
      <c r="B86" s="5" t="n">
        <v>128</v>
      </c>
      <c r="C86" s="5" t="n">
        <v>2</v>
      </c>
      <c r="D86" s="5" t="n">
        <f aca="false">B86-C86</f>
        <v>126</v>
      </c>
      <c r="E86" s="6" t="n">
        <f aca="false">C86/B86</f>
        <v>0.015625</v>
      </c>
      <c r="F86" s="5" t="str">
        <f aca="false">IF(E86&lt;=0.03,"Pass","Threshold Review")</f>
        <v>Pass</v>
      </c>
    </row>
    <row r="87" customFormat="false" ht="15" hidden="false" customHeight="false" outlineLevel="0" collapsed="false">
      <c r="A87" s="4" t="s">
        <v>231</v>
      </c>
      <c r="B87" s="5" t="n">
        <v>78</v>
      </c>
      <c r="C87" s="5" t="n">
        <v>2</v>
      </c>
      <c r="D87" s="5" t="n">
        <f aca="false">B87-C87</f>
        <v>76</v>
      </c>
      <c r="E87" s="6" t="n">
        <f aca="false">C87/B87</f>
        <v>0.0256410256410256</v>
      </c>
      <c r="F87" s="5" t="str">
        <f aca="false">IF(E87&lt;=0.03,"Pass","Threshold Review")</f>
        <v>Pass</v>
      </c>
    </row>
    <row r="88" customFormat="false" ht="15" hidden="false" customHeight="false" outlineLevel="0" collapsed="false">
      <c r="A88" s="4" t="s">
        <v>233</v>
      </c>
      <c r="B88" s="5" t="n">
        <v>177</v>
      </c>
      <c r="C88" s="5" t="n">
        <v>10</v>
      </c>
      <c r="D88" s="5" t="n">
        <f aca="false">B88-C88</f>
        <v>167</v>
      </c>
      <c r="E88" s="6" t="n">
        <f aca="false">C88/B88</f>
        <v>0.0564971751412429</v>
      </c>
      <c r="F88" s="5" t="str">
        <f aca="false">IF(E88&lt;=0.03,"Pass","Threshold Review")</f>
        <v>Threshold Review</v>
      </c>
    </row>
    <row r="89" customFormat="false" ht="15" hidden="false" customHeight="false" outlineLevel="0" collapsed="false">
      <c r="A89" s="4" t="s">
        <v>235</v>
      </c>
      <c r="B89" s="5" t="n">
        <v>183</v>
      </c>
      <c r="C89" s="5" t="n">
        <v>11</v>
      </c>
      <c r="D89" s="5" t="n">
        <f aca="false">B89-C89</f>
        <v>172</v>
      </c>
      <c r="E89" s="6" t="n">
        <f aca="false">C89/B89</f>
        <v>0.0601092896174863</v>
      </c>
      <c r="F89" s="5" t="str">
        <f aca="false">IF(E89&lt;=0.03,"Pass","Threshold Review")</f>
        <v>Threshold Review</v>
      </c>
    </row>
    <row r="90" customFormat="false" ht="15" hidden="false" customHeight="false" outlineLevel="0" collapsed="false">
      <c r="A90" s="4" t="s">
        <v>237</v>
      </c>
      <c r="B90" s="5" t="n">
        <v>53</v>
      </c>
      <c r="C90" s="5" t="n">
        <v>3</v>
      </c>
      <c r="D90" s="5" t="n">
        <f aca="false">B90-C90</f>
        <v>50</v>
      </c>
      <c r="E90" s="6" t="n">
        <f aca="false">C90/B90</f>
        <v>0.0566037735849057</v>
      </c>
      <c r="F90" s="5" t="str">
        <f aca="false">IF(E90&lt;=0.03,"Pass","Threshold Review")</f>
        <v>Threshold Review</v>
      </c>
    </row>
    <row r="91" customFormat="false" ht="15" hidden="false" customHeight="false" outlineLevel="0" collapsed="false">
      <c r="A91" s="4" t="s">
        <v>239</v>
      </c>
      <c r="B91" s="5" t="n">
        <v>146</v>
      </c>
      <c r="C91" s="5" t="n">
        <v>10</v>
      </c>
      <c r="D91" s="5" t="n">
        <f aca="false">B91-C91</f>
        <v>136</v>
      </c>
      <c r="E91" s="6" t="n">
        <f aca="false">C91/B91</f>
        <v>0.0684931506849315</v>
      </c>
      <c r="F91" s="5" t="str">
        <f aca="false">IF(E91&lt;=0.03,"Pass","Threshold Review")</f>
        <v>Threshold Review</v>
      </c>
    </row>
    <row r="92" customFormat="false" ht="15" hidden="false" customHeight="false" outlineLevel="0" collapsed="false">
      <c r="A92" s="4" t="s">
        <v>241</v>
      </c>
      <c r="B92" s="5" t="n">
        <v>74</v>
      </c>
      <c r="C92" s="5" t="n">
        <v>12</v>
      </c>
      <c r="D92" s="5" t="n">
        <f aca="false">B92-C92</f>
        <v>62</v>
      </c>
      <c r="E92" s="6" t="n">
        <f aca="false">C92/B92</f>
        <v>0.162162162162162</v>
      </c>
      <c r="F92" s="5" t="str">
        <f aca="false">IF(E92&lt;=0.03,"Pass","Threshold Review")</f>
        <v>Threshold Review</v>
      </c>
    </row>
    <row r="93" customFormat="false" ht="15" hidden="false" customHeight="false" outlineLevel="0" collapsed="false">
      <c r="A93" s="4" t="s">
        <v>243</v>
      </c>
      <c r="B93" s="5" t="n">
        <v>110</v>
      </c>
      <c r="C93" s="5" t="n">
        <v>9</v>
      </c>
      <c r="D93" s="5" t="n">
        <f aca="false">B93-C93</f>
        <v>101</v>
      </c>
      <c r="E93" s="6" t="n">
        <f aca="false">C93/B93</f>
        <v>0.0818181818181818</v>
      </c>
      <c r="F93" s="5" t="str">
        <f aca="false">IF(E93&lt;=0.03,"Pass","Threshold Review")</f>
        <v>Threshold Review</v>
      </c>
    </row>
    <row r="94" customFormat="false" ht="15" hidden="false" customHeight="false" outlineLevel="0" collapsed="false">
      <c r="A94" s="4" t="s">
        <v>245</v>
      </c>
      <c r="B94" s="5" t="n">
        <v>163</v>
      </c>
      <c r="C94" s="5" t="n">
        <v>11</v>
      </c>
      <c r="D94" s="5" t="n">
        <f aca="false">B94-C94</f>
        <v>152</v>
      </c>
      <c r="E94" s="6" t="n">
        <f aca="false">C94/B94</f>
        <v>0.0674846625766871</v>
      </c>
      <c r="F94" s="5" t="str">
        <f aca="false">IF(E94&lt;=0.03,"Pass","Threshold Review")</f>
        <v>Threshold Review</v>
      </c>
    </row>
    <row r="95" customFormat="false" ht="15" hidden="false" customHeight="false" outlineLevel="0" collapsed="false">
      <c r="A95" s="4" t="s">
        <v>247</v>
      </c>
      <c r="B95" s="5" t="n">
        <v>70</v>
      </c>
      <c r="C95" s="5" t="n">
        <v>2</v>
      </c>
      <c r="D95" s="5" t="n">
        <f aca="false">B95-C95</f>
        <v>68</v>
      </c>
      <c r="E95" s="6" t="n">
        <f aca="false">C95/B95</f>
        <v>0.0285714285714286</v>
      </c>
      <c r="F95" s="5" t="str">
        <f aca="false">IF(E95&lt;=0.03,"Pass","Threshold Review")</f>
        <v>Pass</v>
      </c>
    </row>
    <row r="96" customFormat="false" ht="15" hidden="false" customHeight="false" outlineLevel="0" collapsed="false">
      <c r="A96" s="4" t="s">
        <v>249</v>
      </c>
      <c r="B96" s="5" t="n">
        <v>92</v>
      </c>
      <c r="C96" s="5" t="n">
        <v>12</v>
      </c>
      <c r="D96" s="5" t="n">
        <f aca="false">B96-C96</f>
        <v>80</v>
      </c>
      <c r="E96" s="6" t="n">
        <f aca="false">C96/B96</f>
        <v>0.130434782608696</v>
      </c>
      <c r="F96" s="5" t="str">
        <f aca="false">IF(E96&lt;=0.03,"Pass","Threshold Review")</f>
        <v>Threshold Review</v>
      </c>
    </row>
    <row r="97" customFormat="false" ht="15" hidden="false" customHeight="false" outlineLevel="0" collapsed="false">
      <c r="A97" s="4" t="s">
        <v>251</v>
      </c>
      <c r="B97" s="5" t="n">
        <v>163</v>
      </c>
      <c r="C97" s="5" t="n">
        <v>5</v>
      </c>
      <c r="D97" s="5" t="n">
        <f aca="false">B97-C97</f>
        <v>158</v>
      </c>
      <c r="E97" s="6" t="n">
        <f aca="false">C97/B97</f>
        <v>0.0306748466257669</v>
      </c>
      <c r="F97" s="5" t="str">
        <f aca="false">IF(E97&lt;=0.03,"Pass","Threshold Review")</f>
        <v>Threshold Review</v>
      </c>
    </row>
    <row r="98" customFormat="false" ht="15" hidden="false" customHeight="false" outlineLevel="0" collapsed="false">
      <c r="A98" s="4" t="s">
        <v>253</v>
      </c>
      <c r="B98" s="5" t="n">
        <v>114</v>
      </c>
      <c r="C98" s="5" t="n">
        <v>5</v>
      </c>
      <c r="D98" s="5" t="n">
        <f aca="false">B98-C98</f>
        <v>109</v>
      </c>
      <c r="E98" s="6" t="n">
        <f aca="false">C98/B98</f>
        <v>0.043859649122807</v>
      </c>
      <c r="F98" s="5" t="str">
        <f aca="false">IF(E98&lt;=0.03,"Pass","Threshold Review")</f>
        <v>Threshold Review</v>
      </c>
    </row>
    <row r="99" customFormat="false" ht="15" hidden="false" customHeight="false" outlineLevel="0" collapsed="false">
      <c r="A99" s="4" t="s">
        <v>255</v>
      </c>
      <c r="B99" s="5" t="n">
        <v>200</v>
      </c>
      <c r="C99" s="5" t="n">
        <v>0</v>
      </c>
      <c r="D99" s="5" t="n">
        <f aca="false">B99-C99</f>
        <v>200</v>
      </c>
      <c r="E99" s="6" t="n">
        <f aca="false">C99/B99</f>
        <v>0</v>
      </c>
      <c r="F99" s="5" t="str">
        <f aca="false">IF(E99&lt;=0.03,"Pass","Threshold Review")</f>
        <v>Pass</v>
      </c>
    </row>
    <row r="100" customFormat="false" ht="15" hidden="false" customHeight="false" outlineLevel="0" collapsed="false">
      <c r="A100" s="4" t="s">
        <v>257</v>
      </c>
      <c r="B100" s="5" t="n">
        <v>199</v>
      </c>
      <c r="C100" s="5" t="n">
        <v>6</v>
      </c>
      <c r="D100" s="5" t="n">
        <f aca="false">B100-C100</f>
        <v>193</v>
      </c>
      <c r="E100" s="6" t="n">
        <f aca="false">C100/B100</f>
        <v>0.0301507537688442</v>
      </c>
      <c r="F100" s="5" t="str">
        <f aca="false">IF(E100&lt;=0.03,"Pass","Threshold Review")</f>
        <v>Threshold Review</v>
      </c>
    </row>
    <row r="101" customFormat="false" ht="15" hidden="false" customHeight="false" outlineLevel="0" collapsed="false">
      <c r="A101" s="4" t="s">
        <v>259</v>
      </c>
      <c r="B101" s="5" t="n">
        <v>55</v>
      </c>
      <c r="C101" s="5" t="n">
        <v>4</v>
      </c>
      <c r="D101" s="5" t="n">
        <f aca="false">B101-C101</f>
        <v>51</v>
      </c>
      <c r="E101" s="6" t="n">
        <f aca="false">C101/B101</f>
        <v>0.0727272727272727</v>
      </c>
      <c r="F101" s="5" t="str">
        <f aca="false">IF(E101&lt;=0.03,"Pass","Threshold Review")</f>
        <v>Threshold Review</v>
      </c>
    </row>
    <row r="102" customFormat="false" ht="15" hidden="false" customHeight="false" outlineLevel="0" collapsed="false">
      <c r="A102" s="4" t="s">
        <v>261</v>
      </c>
      <c r="B102" s="5" t="n">
        <v>90</v>
      </c>
      <c r="C102" s="5" t="n">
        <v>2</v>
      </c>
      <c r="D102" s="5" t="n">
        <f aca="false">B102-C102</f>
        <v>88</v>
      </c>
      <c r="E102" s="6" t="n">
        <f aca="false">C102/B102</f>
        <v>0.0222222222222222</v>
      </c>
      <c r="F102" s="5" t="str">
        <f aca="false">IF(E102&lt;=0.03,"Pass","Threshold Review")</f>
        <v>Pass</v>
      </c>
    </row>
    <row r="103" customFormat="false" ht="15" hidden="false" customHeight="false" outlineLevel="0" collapsed="false">
      <c r="A103" s="4" t="s">
        <v>263</v>
      </c>
      <c r="B103" s="5" t="n">
        <v>52</v>
      </c>
      <c r="C103" s="5" t="n">
        <v>4</v>
      </c>
      <c r="D103" s="5" t="n">
        <f aca="false">B103-C103</f>
        <v>48</v>
      </c>
      <c r="E103" s="6" t="n">
        <f aca="false">C103/B103</f>
        <v>0.0769230769230769</v>
      </c>
      <c r="F103" s="5" t="str">
        <f aca="false">IF(E103&lt;=0.03,"Pass","Threshold Review")</f>
        <v>Threshold Review</v>
      </c>
    </row>
    <row r="104" customFormat="false" ht="15" hidden="false" customHeight="false" outlineLevel="0" collapsed="false">
      <c r="A104" s="4" t="s">
        <v>265</v>
      </c>
      <c r="B104" s="5" t="n">
        <v>192</v>
      </c>
      <c r="C104" s="5" t="n">
        <v>4</v>
      </c>
      <c r="D104" s="5" t="n">
        <f aca="false">B104-C104</f>
        <v>188</v>
      </c>
      <c r="E104" s="6" t="n">
        <f aca="false">C104/B104</f>
        <v>0.0208333333333333</v>
      </c>
      <c r="F104" s="5" t="str">
        <f aca="false">IF(E104&lt;=0.03,"Pass","Threshold Review")</f>
        <v>Pass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4" min="2" style="0" width="12"/>
    <col collapsed="false" customWidth="true" hidden="false" outlineLevel="0" max="6" min="5" style="0" width="19"/>
  </cols>
  <sheetData>
    <row r="1" customFormat="false" ht="17.35" hidden="false" customHeight="false" outlineLevel="0" collapsed="false">
      <c r="A1" s="1" t="s">
        <v>281</v>
      </c>
    </row>
    <row r="2" customFormat="false" ht="15" hidden="false" customHeight="false" outlineLevel="0" collapsed="false">
      <c r="A2" s="2" t="s">
        <v>282</v>
      </c>
    </row>
    <row r="4" customFormat="false" ht="15" hidden="false" customHeight="false" outlineLevel="0" collapsed="false">
      <c r="A4" s="3" t="s">
        <v>2</v>
      </c>
      <c r="B4" s="3" t="s">
        <v>283</v>
      </c>
      <c r="C4" s="3" t="s">
        <v>284</v>
      </c>
      <c r="D4" s="3" t="s">
        <v>285</v>
      </c>
      <c r="E4" s="3" t="s">
        <v>286</v>
      </c>
      <c r="F4" s="3" t="s">
        <v>287</v>
      </c>
    </row>
    <row r="5" customFormat="false" ht="15" hidden="false" customHeight="false" outlineLevel="0" collapsed="false">
      <c r="A5" s="4" t="s">
        <v>10</v>
      </c>
      <c r="B5" s="5" t="s">
        <v>288</v>
      </c>
      <c r="C5" s="5" t="n">
        <v>2186</v>
      </c>
      <c r="D5" s="5" t="n">
        <v>173</v>
      </c>
      <c r="E5" s="6" t="n">
        <f aca="false">D5/C5</f>
        <v>0.0791399817017383</v>
      </c>
      <c r="F5" s="5" t="s">
        <v>289</v>
      </c>
    </row>
    <row r="6" customFormat="false" ht="15" hidden="false" customHeight="false" outlineLevel="0" collapsed="false">
      <c r="A6" s="4" t="s">
        <v>10</v>
      </c>
      <c r="B6" s="5" t="s">
        <v>290</v>
      </c>
      <c r="C6" s="5" t="n">
        <v>2674</v>
      </c>
      <c r="D6" s="5" t="n">
        <v>115</v>
      </c>
      <c r="E6" s="6" t="n">
        <f aca="false">D6/C6</f>
        <v>0.0430067314884069</v>
      </c>
      <c r="F6" s="5" t="n">
        <f aca="false">C6-C5</f>
        <v>488</v>
      </c>
    </row>
    <row r="7" customFormat="false" ht="15" hidden="false" customHeight="false" outlineLevel="0" collapsed="false">
      <c r="A7" s="4" t="s">
        <v>10</v>
      </c>
      <c r="B7" s="5" t="s">
        <v>291</v>
      </c>
      <c r="C7" s="5" t="n">
        <v>2066</v>
      </c>
      <c r="D7" s="5" t="n">
        <v>195</v>
      </c>
      <c r="E7" s="6" t="n">
        <f aca="false">D7/C7</f>
        <v>0.0943852855759923</v>
      </c>
      <c r="F7" s="5" t="n">
        <f aca="false">C7-C6</f>
        <v>-608</v>
      </c>
    </row>
    <row r="8" customFormat="false" ht="15" hidden="false" customHeight="false" outlineLevel="0" collapsed="false">
      <c r="A8" s="4" t="s">
        <v>10</v>
      </c>
      <c r="B8" s="5" t="s">
        <v>292</v>
      </c>
      <c r="C8" s="5" t="n">
        <v>2717</v>
      </c>
      <c r="D8" s="5" t="n">
        <v>253</v>
      </c>
      <c r="E8" s="6" t="n">
        <f aca="false">D8/C8</f>
        <v>0.0931174089068826</v>
      </c>
      <c r="F8" s="5" t="n">
        <f aca="false">C8-C7</f>
        <v>651</v>
      </c>
    </row>
    <row r="9" customFormat="false" ht="15" hidden="false" customHeight="false" outlineLevel="0" collapsed="false">
      <c r="A9" s="4" t="s">
        <v>18</v>
      </c>
      <c r="B9" s="5" t="s">
        <v>288</v>
      </c>
      <c r="C9" s="5" t="n">
        <v>1197</v>
      </c>
      <c r="D9" s="5" t="n">
        <v>140</v>
      </c>
      <c r="E9" s="6" t="n">
        <f aca="false">D9/C9</f>
        <v>0.116959064327485</v>
      </c>
      <c r="F9" s="5" t="s">
        <v>289</v>
      </c>
    </row>
    <row r="10" customFormat="false" ht="15" hidden="false" customHeight="false" outlineLevel="0" collapsed="false">
      <c r="A10" s="4" t="s">
        <v>18</v>
      </c>
      <c r="B10" s="5" t="s">
        <v>290</v>
      </c>
      <c r="C10" s="5" t="n">
        <v>1014</v>
      </c>
      <c r="D10" s="5" t="n">
        <v>62</v>
      </c>
      <c r="E10" s="6" t="n">
        <f aca="false">D10/C10</f>
        <v>0.0611439842209073</v>
      </c>
      <c r="F10" s="5" t="n">
        <f aca="false">C10-C9</f>
        <v>-183</v>
      </c>
    </row>
    <row r="11" customFormat="false" ht="15" hidden="false" customHeight="false" outlineLevel="0" collapsed="false">
      <c r="A11" s="4" t="s">
        <v>18</v>
      </c>
      <c r="B11" s="5" t="s">
        <v>291</v>
      </c>
      <c r="C11" s="5" t="n">
        <v>950</v>
      </c>
      <c r="D11" s="5" t="n">
        <v>49</v>
      </c>
      <c r="E11" s="6" t="n">
        <f aca="false">D11/C11</f>
        <v>0.0515789473684211</v>
      </c>
      <c r="F11" s="5" t="n">
        <f aca="false">C11-C10</f>
        <v>-64</v>
      </c>
    </row>
    <row r="12" customFormat="false" ht="15" hidden="false" customHeight="false" outlineLevel="0" collapsed="false">
      <c r="A12" s="4" t="s">
        <v>18</v>
      </c>
      <c r="B12" s="5" t="s">
        <v>292</v>
      </c>
      <c r="C12" s="5" t="n">
        <v>1141</v>
      </c>
      <c r="D12" s="5" t="n">
        <v>115</v>
      </c>
      <c r="E12" s="6" t="n">
        <f aca="false">D12/C12</f>
        <v>0.100788781770377</v>
      </c>
      <c r="F12" s="5" t="n">
        <f aca="false">C12-C11</f>
        <v>191</v>
      </c>
    </row>
    <row r="13" customFormat="false" ht="15" hidden="false" customHeight="false" outlineLevel="0" collapsed="false">
      <c r="A13" s="4" t="s">
        <v>25</v>
      </c>
      <c r="B13" s="5" t="s">
        <v>288</v>
      </c>
      <c r="C13" s="5" t="n">
        <v>3559</v>
      </c>
      <c r="D13" s="5" t="n">
        <v>352</v>
      </c>
      <c r="E13" s="6" t="n">
        <f aca="false">D13/C13</f>
        <v>0.098904186569261</v>
      </c>
      <c r="F13" s="5" t="s">
        <v>289</v>
      </c>
    </row>
    <row r="14" customFormat="false" ht="15" hidden="false" customHeight="false" outlineLevel="0" collapsed="false">
      <c r="A14" s="4" t="s">
        <v>25</v>
      </c>
      <c r="B14" s="5" t="s">
        <v>290</v>
      </c>
      <c r="C14" s="5" t="n">
        <v>2930</v>
      </c>
      <c r="D14" s="5" t="n">
        <v>284</v>
      </c>
      <c r="E14" s="6" t="n">
        <f aca="false">D14/C14</f>
        <v>0.0969283276450512</v>
      </c>
      <c r="F14" s="5" t="n">
        <f aca="false">C14-C13</f>
        <v>-629</v>
      </c>
    </row>
    <row r="15" customFormat="false" ht="15" hidden="false" customHeight="false" outlineLevel="0" collapsed="false">
      <c r="A15" s="4" t="s">
        <v>25</v>
      </c>
      <c r="B15" s="5" t="s">
        <v>291</v>
      </c>
      <c r="C15" s="5" t="n">
        <v>3360</v>
      </c>
      <c r="D15" s="5" t="n">
        <v>181</v>
      </c>
      <c r="E15" s="6" t="n">
        <f aca="false">D15/C15</f>
        <v>0.0538690476190476</v>
      </c>
      <c r="F15" s="5" t="n">
        <f aca="false">C15-C14</f>
        <v>430</v>
      </c>
    </row>
    <row r="16" customFormat="false" ht="15" hidden="false" customHeight="false" outlineLevel="0" collapsed="false">
      <c r="A16" s="4" t="s">
        <v>25</v>
      </c>
      <c r="B16" s="5" t="s">
        <v>292</v>
      </c>
      <c r="C16" s="5" t="n">
        <v>2914</v>
      </c>
      <c r="D16" s="5" t="n">
        <v>129</v>
      </c>
      <c r="E16" s="6" t="n">
        <f aca="false">D16/C16</f>
        <v>0.0442690459849005</v>
      </c>
      <c r="F16" s="5" t="n">
        <f aca="false">C16-C15</f>
        <v>-446</v>
      </c>
    </row>
    <row r="17" customFormat="false" ht="15" hidden="false" customHeight="false" outlineLevel="0" collapsed="false">
      <c r="A17" s="4" t="s">
        <v>32</v>
      </c>
      <c r="B17" s="5" t="s">
        <v>288</v>
      </c>
      <c r="C17" s="5" t="n">
        <v>794</v>
      </c>
      <c r="D17" s="5" t="n">
        <v>48</v>
      </c>
      <c r="E17" s="6" t="n">
        <f aca="false">D17/C17</f>
        <v>0.0604534005037783</v>
      </c>
      <c r="F17" s="5" t="s">
        <v>289</v>
      </c>
    </row>
    <row r="18" customFormat="false" ht="15" hidden="false" customHeight="false" outlineLevel="0" collapsed="false">
      <c r="A18" s="4" t="s">
        <v>32</v>
      </c>
      <c r="B18" s="5" t="s">
        <v>290</v>
      </c>
      <c r="C18" s="5" t="n">
        <v>1007</v>
      </c>
      <c r="D18" s="5" t="n">
        <v>47</v>
      </c>
      <c r="E18" s="6" t="n">
        <f aca="false">D18/C18</f>
        <v>0.0466732869910626</v>
      </c>
      <c r="F18" s="5" t="n">
        <f aca="false">C18-C17</f>
        <v>213</v>
      </c>
    </row>
    <row r="19" customFormat="false" ht="15" hidden="false" customHeight="false" outlineLevel="0" collapsed="false">
      <c r="A19" s="4" t="s">
        <v>32</v>
      </c>
      <c r="B19" s="5" t="s">
        <v>291</v>
      </c>
      <c r="C19" s="5" t="n">
        <v>710</v>
      </c>
      <c r="D19" s="5" t="n">
        <v>81</v>
      </c>
      <c r="E19" s="6" t="n">
        <f aca="false">D19/C19</f>
        <v>0.114084507042254</v>
      </c>
      <c r="F19" s="5" t="n">
        <f aca="false">C19-C18</f>
        <v>-297</v>
      </c>
    </row>
    <row r="20" customFormat="false" ht="15" hidden="false" customHeight="false" outlineLevel="0" collapsed="false">
      <c r="A20" s="4" t="s">
        <v>32</v>
      </c>
      <c r="B20" s="5" t="s">
        <v>292</v>
      </c>
      <c r="C20" s="5" t="n">
        <v>1005</v>
      </c>
      <c r="D20" s="5" t="n">
        <v>50</v>
      </c>
      <c r="E20" s="6" t="n">
        <f aca="false">D20/C20</f>
        <v>0.0497512437810945</v>
      </c>
      <c r="F20" s="5" t="n">
        <f aca="false">C20-C19</f>
        <v>295</v>
      </c>
    </row>
    <row r="21" customFormat="false" ht="15" hidden="false" customHeight="false" outlineLevel="0" collapsed="false">
      <c r="A21" s="4" t="s">
        <v>40</v>
      </c>
      <c r="B21" s="5" t="s">
        <v>288</v>
      </c>
      <c r="C21" s="5" t="n">
        <v>4180</v>
      </c>
      <c r="D21" s="5" t="n">
        <v>377</v>
      </c>
      <c r="E21" s="6" t="n">
        <f aca="false">D21/C21</f>
        <v>0.0901913875598086</v>
      </c>
      <c r="F21" s="5" t="s">
        <v>289</v>
      </c>
    </row>
    <row r="22" customFormat="false" ht="15" hidden="false" customHeight="false" outlineLevel="0" collapsed="false">
      <c r="A22" s="4" t="s">
        <v>40</v>
      </c>
      <c r="B22" s="5" t="s">
        <v>290</v>
      </c>
      <c r="C22" s="5" t="n">
        <v>2917</v>
      </c>
      <c r="D22" s="5" t="n">
        <v>322</v>
      </c>
      <c r="E22" s="6" t="n">
        <f aca="false">D22/C22</f>
        <v>0.110387384298937</v>
      </c>
      <c r="F22" s="5" t="n">
        <f aca="false">C22-C21</f>
        <v>-1263</v>
      </c>
    </row>
    <row r="23" customFormat="false" ht="15" hidden="false" customHeight="false" outlineLevel="0" collapsed="false">
      <c r="A23" s="4" t="s">
        <v>40</v>
      </c>
      <c r="B23" s="5" t="s">
        <v>291</v>
      </c>
      <c r="C23" s="5" t="n">
        <v>3090</v>
      </c>
      <c r="D23" s="5" t="n">
        <v>312</v>
      </c>
      <c r="E23" s="6" t="n">
        <f aca="false">D23/C23</f>
        <v>0.100970873786408</v>
      </c>
      <c r="F23" s="5" t="n">
        <f aca="false">C23-C22</f>
        <v>173</v>
      </c>
    </row>
    <row r="24" customFormat="false" ht="15" hidden="false" customHeight="false" outlineLevel="0" collapsed="false">
      <c r="A24" s="4" t="s">
        <v>40</v>
      </c>
      <c r="B24" s="5" t="s">
        <v>292</v>
      </c>
      <c r="C24" s="5" t="n">
        <v>3041</v>
      </c>
      <c r="D24" s="5" t="n">
        <v>348</v>
      </c>
      <c r="E24" s="6" t="n">
        <f aca="false">D24/C24</f>
        <v>0.114436040776061</v>
      </c>
      <c r="F24" s="5" t="n">
        <f aca="false">C24-C23</f>
        <v>-49</v>
      </c>
    </row>
    <row r="25" customFormat="false" ht="15" hidden="false" customHeight="false" outlineLevel="0" collapsed="false">
      <c r="A25" s="4" t="s">
        <v>48</v>
      </c>
      <c r="B25" s="5" t="s">
        <v>288</v>
      </c>
      <c r="C25" s="5" t="n">
        <v>2163</v>
      </c>
      <c r="D25" s="5" t="n">
        <v>155</v>
      </c>
      <c r="E25" s="6" t="n">
        <f aca="false">D25/C25</f>
        <v>0.0716597318539066</v>
      </c>
      <c r="F25" s="5" t="s">
        <v>289</v>
      </c>
    </row>
    <row r="26" customFormat="false" ht="15" hidden="false" customHeight="false" outlineLevel="0" collapsed="false">
      <c r="A26" s="4" t="s">
        <v>48</v>
      </c>
      <c r="B26" s="5" t="s">
        <v>290</v>
      </c>
      <c r="C26" s="5" t="n">
        <v>3179</v>
      </c>
      <c r="D26" s="5" t="n">
        <v>240</v>
      </c>
      <c r="E26" s="6" t="n">
        <f aca="false">D26/C26</f>
        <v>0.0754954388172381</v>
      </c>
      <c r="F26" s="5" t="n">
        <f aca="false">C26-C25</f>
        <v>1016</v>
      </c>
    </row>
    <row r="27" customFormat="false" ht="15" hidden="false" customHeight="false" outlineLevel="0" collapsed="false">
      <c r="A27" s="4" t="s">
        <v>48</v>
      </c>
      <c r="B27" s="5" t="s">
        <v>291</v>
      </c>
      <c r="C27" s="5" t="n">
        <v>2301</v>
      </c>
      <c r="D27" s="5" t="n">
        <v>134</v>
      </c>
      <c r="E27" s="6" t="n">
        <f aca="false">D27/C27</f>
        <v>0.0582355497609735</v>
      </c>
      <c r="F27" s="5" t="n">
        <f aca="false">C27-C26</f>
        <v>-878</v>
      </c>
    </row>
    <row r="28" customFormat="false" ht="15" hidden="false" customHeight="false" outlineLevel="0" collapsed="false">
      <c r="A28" s="4" t="s">
        <v>48</v>
      </c>
      <c r="B28" s="5" t="s">
        <v>292</v>
      </c>
      <c r="C28" s="5" t="n">
        <v>2587</v>
      </c>
      <c r="D28" s="5" t="n">
        <v>202</v>
      </c>
      <c r="E28" s="6" t="n">
        <f aca="false">D28/C28</f>
        <v>0.0780827212988017</v>
      </c>
      <c r="F28" s="5" t="n">
        <f aca="false">C28-C27</f>
        <v>286</v>
      </c>
    </row>
    <row r="29" customFormat="false" ht="15" hidden="false" customHeight="false" outlineLevel="0" collapsed="false">
      <c r="A29" s="4" t="s">
        <v>55</v>
      </c>
      <c r="B29" s="5" t="s">
        <v>288</v>
      </c>
      <c r="C29" s="5" t="n">
        <v>2633</v>
      </c>
      <c r="D29" s="5" t="n">
        <v>183</v>
      </c>
      <c r="E29" s="6" t="n">
        <f aca="false">D29/C29</f>
        <v>0.0695024686669199</v>
      </c>
      <c r="F29" s="5" t="s">
        <v>289</v>
      </c>
    </row>
    <row r="30" customFormat="false" ht="15" hidden="false" customHeight="false" outlineLevel="0" collapsed="false">
      <c r="A30" s="4" t="s">
        <v>55</v>
      </c>
      <c r="B30" s="5" t="s">
        <v>290</v>
      </c>
      <c r="C30" s="5" t="n">
        <v>2177</v>
      </c>
      <c r="D30" s="5" t="n">
        <v>214</v>
      </c>
      <c r="E30" s="6" t="n">
        <f aca="false">D30/C30</f>
        <v>0.0983004134129536</v>
      </c>
      <c r="F30" s="5" t="n">
        <f aca="false">C30-C29</f>
        <v>-456</v>
      </c>
    </row>
    <row r="31" customFormat="false" ht="15" hidden="false" customHeight="false" outlineLevel="0" collapsed="false">
      <c r="A31" s="4" t="s">
        <v>55</v>
      </c>
      <c r="B31" s="5" t="s">
        <v>291</v>
      </c>
      <c r="C31" s="5" t="n">
        <v>2504</v>
      </c>
      <c r="D31" s="5" t="n">
        <v>243</v>
      </c>
      <c r="E31" s="6" t="n">
        <f aca="false">D31/C31</f>
        <v>0.0970447284345048</v>
      </c>
      <c r="F31" s="5" t="n">
        <f aca="false">C31-C30</f>
        <v>327</v>
      </c>
    </row>
    <row r="32" customFormat="false" ht="15" hidden="false" customHeight="false" outlineLevel="0" collapsed="false">
      <c r="A32" s="4" t="s">
        <v>55</v>
      </c>
      <c r="B32" s="5" t="s">
        <v>292</v>
      </c>
      <c r="C32" s="5" t="n">
        <v>2117</v>
      </c>
      <c r="D32" s="5" t="n">
        <v>188</v>
      </c>
      <c r="E32" s="6" t="n">
        <f aca="false">D32/C32</f>
        <v>0.0888049126121871</v>
      </c>
      <c r="F32" s="5" t="n">
        <f aca="false">C32-C31</f>
        <v>-387</v>
      </c>
    </row>
    <row r="33" customFormat="false" ht="15" hidden="false" customHeight="false" outlineLevel="0" collapsed="false">
      <c r="A33" s="4" t="s">
        <v>61</v>
      </c>
      <c r="B33" s="5" t="s">
        <v>288</v>
      </c>
      <c r="C33" s="5" t="n">
        <v>1833</v>
      </c>
      <c r="D33" s="5" t="n">
        <v>98</v>
      </c>
      <c r="E33" s="6" t="n">
        <f aca="false">D33/C33</f>
        <v>0.0534642662302237</v>
      </c>
      <c r="F33" s="5" t="s">
        <v>289</v>
      </c>
    </row>
    <row r="34" customFormat="false" ht="15" hidden="false" customHeight="false" outlineLevel="0" collapsed="false">
      <c r="A34" s="4" t="s">
        <v>61</v>
      </c>
      <c r="B34" s="5" t="s">
        <v>290</v>
      </c>
      <c r="C34" s="5" t="n">
        <v>1561</v>
      </c>
      <c r="D34" s="5" t="n">
        <v>174</v>
      </c>
      <c r="E34" s="6" t="n">
        <f aca="false">D34/C34</f>
        <v>0.111467008327995</v>
      </c>
      <c r="F34" s="5" t="n">
        <f aca="false">C34-C33</f>
        <v>-272</v>
      </c>
    </row>
    <row r="35" customFormat="false" ht="15" hidden="false" customHeight="false" outlineLevel="0" collapsed="false">
      <c r="A35" s="4" t="s">
        <v>61</v>
      </c>
      <c r="B35" s="5" t="s">
        <v>291</v>
      </c>
      <c r="C35" s="5" t="n">
        <v>1370</v>
      </c>
      <c r="D35" s="5" t="n">
        <v>130</v>
      </c>
      <c r="E35" s="6" t="n">
        <f aca="false">D35/C35</f>
        <v>0.0948905109489051</v>
      </c>
      <c r="F35" s="5" t="n">
        <f aca="false">C35-C34</f>
        <v>-191</v>
      </c>
    </row>
    <row r="36" customFormat="false" ht="15" hidden="false" customHeight="false" outlineLevel="0" collapsed="false">
      <c r="A36" s="4" t="s">
        <v>61</v>
      </c>
      <c r="B36" s="5" t="s">
        <v>292</v>
      </c>
      <c r="C36" s="5" t="n">
        <v>1367</v>
      </c>
      <c r="D36" s="5" t="n">
        <v>111</v>
      </c>
      <c r="E36" s="6" t="n">
        <f aca="false">D36/C36</f>
        <v>0.0811997073884418</v>
      </c>
      <c r="F36" s="5" t="n">
        <f aca="false">C36-C35</f>
        <v>-3</v>
      </c>
    </row>
    <row r="37" customFormat="false" ht="15" hidden="false" customHeight="false" outlineLevel="0" collapsed="false">
      <c r="A37" s="4" t="s">
        <v>67</v>
      </c>
      <c r="B37" s="5" t="s">
        <v>288</v>
      </c>
      <c r="C37" s="5" t="n">
        <v>1165</v>
      </c>
      <c r="D37" s="5" t="n">
        <v>132</v>
      </c>
      <c r="E37" s="6" t="n">
        <f aca="false">D37/C37</f>
        <v>0.113304721030043</v>
      </c>
      <c r="F37" s="5" t="s">
        <v>289</v>
      </c>
    </row>
    <row r="38" customFormat="false" ht="15" hidden="false" customHeight="false" outlineLevel="0" collapsed="false">
      <c r="A38" s="4" t="s">
        <v>67</v>
      </c>
      <c r="B38" s="5" t="s">
        <v>290</v>
      </c>
      <c r="C38" s="5" t="n">
        <v>1185</v>
      </c>
      <c r="D38" s="5" t="n">
        <v>54</v>
      </c>
      <c r="E38" s="6" t="n">
        <f aca="false">D38/C38</f>
        <v>0.0455696202531646</v>
      </c>
      <c r="F38" s="5" t="n">
        <f aca="false">C38-C37</f>
        <v>20</v>
      </c>
    </row>
    <row r="39" customFormat="false" ht="15" hidden="false" customHeight="false" outlineLevel="0" collapsed="false">
      <c r="A39" s="4" t="s">
        <v>67</v>
      </c>
      <c r="B39" s="5" t="s">
        <v>291</v>
      </c>
      <c r="C39" s="5" t="n">
        <v>932</v>
      </c>
      <c r="D39" s="5" t="n">
        <v>54</v>
      </c>
      <c r="E39" s="6" t="n">
        <f aca="false">D39/C39</f>
        <v>0.0579399141630901</v>
      </c>
      <c r="F39" s="5" t="n">
        <f aca="false">C39-C38</f>
        <v>-253</v>
      </c>
    </row>
    <row r="40" customFormat="false" ht="15" hidden="false" customHeight="false" outlineLevel="0" collapsed="false">
      <c r="A40" s="4" t="s">
        <v>67</v>
      </c>
      <c r="B40" s="5" t="s">
        <v>292</v>
      </c>
      <c r="C40" s="5" t="n">
        <v>1125</v>
      </c>
      <c r="D40" s="5" t="n">
        <v>80</v>
      </c>
      <c r="E40" s="6" t="n">
        <f aca="false">D40/C40</f>
        <v>0.0711111111111111</v>
      </c>
      <c r="F40" s="5" t="n">
        <f aca="false">C40-C39</f>
        <v>193</v>
      </c>
    </row>
    <row r="41" customFormat="false" ht="15" hidden="false" customHeight="false" outlineLevel="0" collapsed="false">
      <c r="A41" s="4" t="s">
        <v>72</v>
      </c>
      <c r="B41" s="5" t="s">
        <v>288</v>
      </c>
      <c r="C41" s="5" t="n">
        <v>2306</v>
      </c>
      <c r="D41" s="5" t="n">
        <v>136</v>
      </c>
      <c r="E41" s="6" t="n">
        <f aca="false">D41/C41</f>
        <v>0.0589765828274068</v>
      </c>
      <c r="F41" s="5" t="s">
        <v>289</v>
      </c>
    </row>
    <row r="42" customFormat="false" ht="15" hidden="false" customHeight="false" outlineLevel="0" collapsed="false">
      <c r="A42" s="4" t="s">
        <v>72</v>
      </c>
      <c r="B42" s="5" t="s">
        <v>290</v>
      </c>
      <c r="C42" s="5" t="n">
        <v>2092</v>
      </c>
      <c r="D42" s="5" t="n">
        <v>178</v>
      </c>
      <c r="E42" s="6" t="n">
        <f aca="false">D42/C42</f>
        <v>0.0850860420650096</v>
      </c>
      <c r="F42" s="5" t="n">
        <f aca="false">C42-C41</f>
        <v>-214</v>
      </c>
    </row>
    <row r="43" customFormat="false" ht="15" hidden="false" customHeight="false" outlineLevel="0" collapsed="false">
      <c r="A43" s="4" t="s">
        <v>72</v>
      </c>
      <c r="B43" s="5" t="s">
        <v>291</v>
      </c>
      <c r="C43" s="5" t="n">
        <v>2247</v>
      </c>
      <c r="D43" s="5" t="n">
        <v>107</v>
      </c>
      <c r="E43" s="6" t="n">
        <f aca="false">D43/C43</f>
        <v>0.0476190476190476</v>
      </c>
      <c r="F43" s="5" t="n">
        <f aca="false">C43-C42</f>
        <v>155</v>
      </c>
    </row>
    <row r="44" customFormat="false" ht="15" hidden="false" customHeight="false" outlineLevel="0" collapsed="false">
      <c r="A44" s="4" t="s">
        <v>72</v>
      </c>
      <c r="B44" s="5" t="s">
        <v>292</v>
      </c>
      <c r="C44" s="5" t="n">
        <v>2366</v>
      </c>
      <c r="D44" s="5" t="n">
        <v>273</v>
      </c>
      <c r="E44" s="6" t="n">
        <f aca="false">D44/C44</f>
        <v>0.115384615384615</v>
      </c>
      <c r="F44" s="5" t="n">
        <f aca="false">C44-C43</f>
        <v>119</v>
      </c>
    </row>
    <row r="45" customFormat="false" ht="15" hidden="false" customHeight="false" outlineLevel="0" collapsed="false">
      <c r="A45" s="4" t="s">
        <v>77</v>
      </c>
      <c r="B45" s="5" t="s">
        <v>288</v>
      </c>
      <c r="C45" s="5" t="n">
        <v>1144</v>
      </c>
      <c r="D45" s="5" t="n">
        <v>74</v>
      </c>
      <c r="E45" s="6" t="n">
        <f aca="false">D45/C45</f>
        <v>0.0646853146853147</v>
      </c>
      <c r="F45" s="5" t="s">
        <v>289</v>
      </c>
    </row>
    <row r="46" customFormat="false" ht="15" hidden="false" customHeight="false" outlineLevel="0" collapsed="false">
      <c r="A46" s="4" t="s">
        <v>77</v>
      </c>
      <c r="B46" s="5" t="s">
        <v>290</v>
      </c>
      <c r="C46" s="5" t="n">
        <v>1373</v>
      </c>
      <c r="D46" s="5" t="n">
        <v>127</v>
      </c>
      <c r="E46" s="6" t="n">
        <f aca="false">D46/C46</f>
        <v>0.0924981791697014</v>
      </c>
      <c r="F46" s="5" t="n">
        <f aca="false">C46-C45</f>
        <v>229</v>
      </c>
    </row>
    <row r="47" customFormat="false" ht="15" hidden="false" customHeight="false" outlineLevel="0" collapsed="false">
      <c r="A47" s="4" t="s">
        <v>77</v>
      </c>
      <c r="B47" s="5" t="s">
        <v>291</v>
      </c>
      <c r="C47" s="5" t="n">
        <v>1026</v>
      </c>
      <c r="D47" s="5" t="n">
        <v>114</v>
      </c>
      <c r="E47" s="6" t="n">
        <f aca="false">D47/C47</f>
        <v>0.111111111111111</v>
      </c>
      <c r="F47" s="5" t="n">
        <f aca="false">C47-C46</f>
        <v>-347</v>
      </c>
    </row>
    <row r="48" customFormat="false" ht="15" hidden="false" customHeight="false" outlineLevel="0" collapsed="false">
      <c r="A48" s="4" t="s">
        <v>77</v>
      </c>
      <c r="B48" s="5" t="s">
        <v>292</v>
      </c>
      <c r="C48" s="5" t="n">
        <v>1254</v>
      </c>
      <c r="D48" s="5" t="n">
        <v>51</v>
      </c>
      <c r="E48" s="6" t="n">
        <f aca="false">D48/C48</f>
        <v>0.0406698564593301</v>
      </c>
      <c r="F48" s="5" t="n">
        <f aca="false">C48-C47</f>
        <v>228</v>
      </c>
    </row>
    <row r="49" customFormat="false" ht="15" hidden="false" customHeight="false" outlineLevel="0" collapsed="false">
      <c r="A49" s="4" t="s">
        <v>80</v>
      </c>
      <c r="B49" s="5" t="s">
        <v>288</v>
      </c>
      <c r="C49" s="5" t="n">
        <v>2830</v>
      </c>
      <c r="D49" s="5" t="n">
        <v>157</v>
      </c>
      <c r="E49" s="6" t="n">
        <f aca="false">D49/C49</f>
        <v>0.0554770318021201</v>
      </c>
      <c r="F49" s="5" t="s">
        <v>289</v>
      </c>
    </row>
    <row r="50" customFormat="false" ht="15" hidden="false" customHeight="false" outlineLevel="0" collapsed="false">
      <c r="A50" s="4" t="s">
        <v>80</v>
      </c>
      <c r="B50" s="5" t="s">
        <v>290</v>
      </c>
      <c r="C50" s="5" t="n">
        <v>2645</v>
      </c>
      <c r="D50" s="5" t="n">
        <v>139</v>
      </c>
      <c r="E50" s="6" t="n">
        <f aca="false">D50/C50</f>
        <v>0.0525519848771267</v>
      </c>
      <c r="F50" s="5" t="n">
        <f aca="false">C50-C49</f>
        <v>-185</v>
      </c>
    </row>
    <row r="51" customFormat="false" ht="15" hidden="false" customHeight="false" outlineLevel="0" collapsed="false">
      <c r="A51" s="4" t="s">
        <v>80</v>
      </c>
      <c r="B51" s="5" t="s">
        <v>291</v>
      </c>
      <c r="C51" s="5" t="n">
        <v>2673</v>
      </c>
      <c r="D51" s="5" t="n">
        <v>255</v>
      </c>
      <c r="E51" s="6" t="n">
        <f aca="false">D51/C51</f>
        <v>0.0953984287317621</v>
      </c>
      <c r="F51" s="5" t="n">
        <f aca="false">C51-C50</f>
        <v>28</v>
      </c>
    </row>
    <row r="52" customFormat="false" ht="15" hidden="false" customHeight="false" outlineLevel="0" collapsed="false">
      <c r="A52" s="4" t="s">
        <v>80</v>
      </c>
      <c r="B52" s="5" t="s">
        <v>292</v>
      </c>
      <c r="C52" s="5" t="n">
        <v>2831</v>
      </c>
      <c r="D52" s="5" t="n">
        <v>158</v>
      </c>
      <c r="E52" s="6" t="n">
        <f aca="false">D52/C52</f>
        <v>0.0558106676086189</v>
      </c>
      <c r="F52" s="5" t="n">
        <f aca="false">C52-C51</f>
        <v>158</v>
      </c>
    </row>
    <row r="53" customFormat="false" ht="15" hidden="false" customHeight="false" outlineLevel="0" collapsed="false">
      <c r="A53" s="4" t="s">
        <v>83</v>
      </c>
      <c r="B53" s="5" t="s">
        <v>288</v>
      </c>
      <c r="C53" s="5" t="n">
        <v>1722</v>
      </c>
      <c r="D53" s="5" t="n">
        <v>200</v>
      </c>
      <c r="E53" s="6" t="n">
        <f aca="false">D53/C53</f>
        <v>0.116144018583043</v>
      </c>
      <c r="F53" s="5" t="s">
        <v>289</v>
      </c>
    </row>
    <row r="54" customFormat="false" ht="15" hidden="false" customHeight="false" outlineLevel="0" collapsed="false">
      <c r="A54" s="4" t="s">
        <v>83</v>
      </c>
      <c r="B54" s="5" t="s">
        <v>290</v>
      </c>
      <c r="C54" s="5" t="n">
        <v>1973</v>
      </c>
      <c r="D54" s="5" t="n">
        <v>101</v>
      </c>
      <c r="E54" s="6" t="n">
        <f aca="false">D54/C54</f>
        <v>0.0511910795742524</v>
      </c>
      <c r="F54" s="5" t="n">
        <f aca="false">C54-C53</f>
        <v>251</v>
      </c>
    </row>
    <row r="55" customFormat="false" ht="15" hidden="false" customHeight="false" outlineLevel="0" collapsed="false">
      <c r="A55" s="4" t="s">
        <v>83</v>
      </c>
      <c r="B55" s="5" t="s">
        <v>291</v>
      </c>
      <c r="C55" s="5" t="n">
        <v>1741</v>
      </c>
      <c r="D55" s="5" t="n">
        <v>189</v>
      </c>
      <c r="E55" s="6" t="n">
        <f aca="false">D55/C55</f>
        <v>0.108558299827685</v>
      </c>
      <c r="F55" s="5" t="n">
        <f aca="false">C55-C54</f>
        <v>-232</v>
      </c>
    </row>
    <row r="56" customFormat="false" ht="15" hidden="false" customHeight="false" outlineLevel="0" collapsed="false">
      <c r="A56" s="4" t="s">
        <v>83</v>
      </c>
      <c r="B56" s="5" t="s">
        <v>292</v>
      </c>
      <c r="C56" s="5" t="n">
        <v>1691</v>
      </c>
      <c r="D56" s="5" t="n">
        <v>194</v>
      </c>
      <c r="E56" s="6" t="n">
        <f aca="false">D56/C56</f>
        <v>0.114725014784151</v>
      </c>
      <c r="F56" s="5" t="n">
        <f aca="false">C56-C55</f>
        <v>-50</v>
      </c>
    </row>
    <row r="57" customFormat="false" ht="15" hidden="false" customHeight="false" outlineLevel="0" collapsed="false">
      <c r="A57" s="4" t="s">
        <v>86</v>
      </c>
      <c r="B57" s="5" t="s">
        <v>288</v>
      </c>
      <c r="C57" s="5" t="n">
        <v>3245</v>
      </c>
      <c r="D57" s="5" t="n">
        <v>193</v>
      </c>
      <c r="E57" s="6" t="n">
        <f aca="false">D57/C57</f>
        <v>0.0594761171032358</v>
      </c>
      <c r="F57" s="5" t="s">
        <v>289</v>
      </c>
    </row>
    <row r="58" customFormat="false" ht="15" hidden="false" customHeight="false" outlineLevel="0" collapsed="false">
      <c r="A58" s="4" t="s">
        <v>86</v>
      </c>
      <c r="B58" s="5" t="s">
        <v>290</v>
      </c>
      <c r="C58" s="5" t="n">
        <v>2418</v>
      </c>
      <c r="D58" s="5" t="n">
        <v>111</v>
      </c>
      <c r="E58" s="6" t="n">
        <f aca="false">D58/C58</f>
        <v>0.0459057071960298</v>
      </c>
      <c r="F58" s="5" t="n">
        <f aca="false">C58-C57</f>
        <v>-827</v>
      </c>
    </row>
    <row r="59" customFormat="false" ht="15" hidden="false" customHeight="false" outlineLevel="0" collapsed="false">
      <c r="A59" s="4" t="s">
        <v>86</v>
      </c>
      <c r="B59" s="5" t="s">
        <v>291</v>
      </c>
      <c r="C59" s="5" t="n">
        <v>2279</v>
      </c>
      <c r="D59" s="5" t="n">
        <v>129</v>
      </c>
      <c r="E59" s="6" t="n">
        <f aca="false">D59/C59</f>
        <v>0.0566037735849057</v>
      </c>
      <c r="F59" s="5" t="n">
        <f aca="false">C59-C58</f>
        <v>-139</v>
      </c>
    </row>
    <row r="60" customFormat="false" ht="15" hidden="false" customHeight="false" outlineLevel="0" collapsed="false">
      <c r="A60" s="4" t="s">
        <v>86</v>
      </c>
      <c r="B60" s="5" t="s">
        <v>292</v>
      </c>
      <c r="C60" s="5" t="n">
        <v>2632</v>
      </c>
      <c r="D60" s="5" t="n">
        <v>159</v>
      </c>
      <c r="E60" s="6" t="n">
        <f aca="false">D60/C60</f>
        <v>0.0604103343465046</v>
      </c>
      <c r="F60" s="5" t="n">
        <f aca="false">C60-C59</f>
        <v>353</v>
      </c>
    </row>
    <row r="61" customFormat="false" ht="15" hidden="false" customHeight="false" outlineLevel="0" collapsed="false">
      <c r="A61" s="4" t="s">
        <v>89</v>
      </c>
      <c r="B61" s="5" t="s">
        <v>288</v>
      </c>
      <c r="C61" s="5" t="n">
        <v>2642</v>
      </c>
      <c r="D61" s="5" t="n">
        <v>242</v>
      </c>
      <c r="E61" s="6" t="n">
        <f aca="false">D61/C61</f>
        <v>0.0915972747918244</v>
      </c>
      <c r="F61" s="5" t="s">
        <v>289</v>
      </c>
    </row>
    <row r="62" customFormat="false" ht="15" hidden="false" customHeight="false" outlineLevel="0" collapsed="false">
      <c r="A62" s="4" t="s">
        <v>89</v>
      </c>
      <c r="B62" s="5" t="s">
        <v>290</v>
      </c>
      <c r="C62" s="5" t="n">
        <v>2186</v>
      </c>
      <c r="D62" s="5" t="n">
        <v>202</v>
      </c>
      <c r="E62" s="6" t="n">
        <f aca="false">D62/C62</f>
        <v>0.0924062214089662</v>
      </c>
      <c r="F62" s="5" t="n">
        <f aca="false">C62-C61</f>
        <v>-456</v>
      </c>
    </row>
    <row r="63" customFormat="false" ht="15" hidden="false" customHeight="false" outlineLevel="0" collapsed="false">
      <c r="A63" s="4" t="s">
        <v>89</v>
      </c>
      <c r="B63" s="5" t="s">
        <v>291</v>
      </c>
      <c r="C63" s="5" t="n">
        <v>1869</v>
      </c>
      <c r="D63" s="5" t="n">
        <v>200</v>
      </c>
      <c r="E63" s="6" t="n">
        <f aca="false">D63/C63</f>
        <v>0.107009095773141</v>
      </c>
      <c r="F63" s="5" t="n">
        <f aca="false">C63-C62</f>
        <v>-317</v>
      </c>
    </row>
    <row r="64" customFormat="false" ht="15" hidden="false" customHeight="false" outlineLevel="0" collapsed="false">
      <c r="A64" s="4" t="s">
        <v>89</v>
      </c>
      <c r="B64" s="5" t="s">
        <v>292</v>
      </c>
      <c r="C64" s="5" t="n">
        <v>2449</v>
      </c>
      <c r="D64" s="5" t="n">
        <v>195</v>
      </c>
      <c r="E64" s="6" t="n">
        <f aca="false">D64/C64</f>
        <v>0.0796243364638628</v>
      </c>
      <c r="F64" s="5" t="n">
        <f aca="false">C64-C63</f>
        <v>580</v>
      </c>
    </row>
    <row r="65" customFormat="false" ht="15" hidden="false" customHeight="false" outlineLevel="0" collapsed="false">
      <c r="A65" s="4" t="s">
        <v>92</v>
      </c>
      <c r="B65" s="5" t="s">
        <v>288</v>
      </c>
      <c r="C65" s="5" t="n">
        <v>1085</v>
      </c>
      <c r="D65" s="5" t="n">
        <v>76</v>
      </c>
      <c r="E65" s="6" t="n">
        <f aca="false">D65/C65</f>
        <v>0.0700460829493088</v>
      </c>
      <c r="F65" s="5" t="s">
        <v>289</v>
      </c>
    </row>
    <row r="66" customFormat="false" ht="15" hidden="false" customHeight="false" outlineLevel="0" collapsed="false">
      <c r="A66" s="4" t="s">
        <v>92</v>
      </c>
      <c r="B66" s="5" t="s">
        <v>290</v>
      </c>
      <c r="C66" s="5" t="n">
        <v>1086</v>
      </c>
      <c r="D66" s="5" t="n">
        <v>99</v>
      </c>
      <c r="E66" s="6" t="n">
        <f aca="false">D66/C66</f>
        <v>0.0911602209944751</v>
      </c>
      <c r="F66" s="5" t="n">
        <f aca="false">C66-C65</f>
        <v>1</v>
      </c>
    </row>
    <row r="67" customFormat="false" ht="15" hidden="false" customHeight="false" outlineLevel="0" collapsed="false">
      <c r="A67" s="4" t="s">
        <v>92</v>
      </c>
      <c r="B67" s="5" t="s">
        <v>291</v>
      </c>
      <c r="C67" s="5" t="n">
        <v>987</v>
      </c>
      <c r="D67" s="5" t="n">
        <v>66</v>
      </c>
      <c r="E67" s="6" t="n">
        <f aca="false">D67/C67</f>
        <v>0.0668693009118541</v>
      </c>
      <c r="F67" s="5" t="n">
        <f aca="false">C67-C66</f>
        <v>-99</v>
      </c>
    </row>
    <row r="68" customFormat="false" ht="15" hidden="false" customHeight="false" outlineLevel="0" collapsed="false">
      <c r="A68" s="4" t="s">
        <v>92</v>
      </c>
      <c r="B68" s="5" t="s">
        <v>292</v>
      </c>
      <c r="C68" s="5" t="n">
        <v>898</v>
      </c>
      <c r="D68" s="5" t="n">
        <v>74</v>
      </c>
      <c r="E68" s="6" t="n">
        <f aca="false">D68/C68</f>
        <v>0.0824053452115813</v>
      </c>
      <c r="F68" s="5" t="n">
        <f aca="false">C68-C67</f>
        <v>-89</v>
      </c>
    </row>
    <row r="69" customFormat="false" ht="15" hidden="false" customHeight="false" outlineLevel="0" collapsed="false">
      <c r="A69" s="4" t="s">
        <v>95</v>
      </c>
      <c r="B69" s="5" t="s">
        <v>288</v>
      </c>
      <c r="C69" s="5" t="n">
        <v>2257</v>
      </c>
      <c r="D69" s="5" t="n">
        <v>96</v>
      </c>
      <c r="E69" s="6" t="n">
        <f aca="false">D69/C69</f>
        <v>0.0425343376163048</v>
      </c>
      <c r="F69" s="5" t="s">
        <v>289</v>
      </c>
    </row>
    <row r="70" customFormat="false" ht="15" hidden="false" customHeight="false" outlineLevel="0" collapsed="false">
      <c r="A70" s="4" t="s">
        <v>95</v>
      </c>
      <c r="B70" s="5" t="s">
        <v>290</v>
      </c>
      <c r="C70" s="5" t="n">
        <v>2479</v>
      </c>
      <c r="D70" s="5" t="n">
        <v>222</v>
      </c>
      <c r="E70" s="6" t="n">
        <f aca="false">D70/C70</f>
        <v>0.0895522388059701</v>
      </c>
      <c r="F70" s="5" t="n">
        <f aca="false">C70-C69</f>
        <v>222</v>
      </c>
    </row>
    <row r="71" customFormat="false" ht="15" hidden="false" customHeight="false" outlineLevel="0" collapsed="false">
      <c r="A71" s="4" t="s">
        <v>95</v>
      </c>
      <c r="B71" s="5" t="s">
        <v>291</v>
      </c>
      <c r="C71" s="5" t="n">
        <v>2483</v>
      </c>
      <c r="D71" s="5" t="n">
        <v>160</v>
      </c>
      <c r="E71" s="6" t="n">
        <f aca="false">D71/C71</f>
        <v>0.0644381796214257</v>
      </c>
      <c r="F71" s="5" t="n">
        <f aca="false">C71-C70</f>
        <v>4</v>
      </c>
    </row>
    <row r="72" customFormat="false" ht="15" hidden="false" customHeight="false" outlineLevel="0" collapsed="false">
      <c r="A72" s="4" t="s">
        <v>95</v>
      </c>
      <c r="B72" s="5" t="s">
        <v>292</v>
      </c>
      <c r="C72" s="5" t="n">
        <v>2870</v>
      </c>
      <c r="D72" s="5" t="n">
        <v>163</v>
      </c>
      <c r="E72" s="6" t="n">
        <f aca="false">D72/C72</f>
        <v>0.056794425087108</v>
      </c>
      <c r="F72" s="5" t="n">
        <f aca="false">C72-C71</f>
        <v>387</v>
      </c>
    </row>
    <row r="73" customFormat="false" ht="15" hidden="false" customHeight="false" outlineLevel="0" collapsed="false">
      <c r="A73" s="4" t="s">
        <v>98</v>
      </c>
      <c r="B73" s="5" t="s">
        <v>288</v>
      </c>
      <c r="C73" s="5" t="n">
        <v>824</v>
      </c>
      <c r="D73" s="5" t="n">
        <v>67</v>
      </c>
      <c r="E73" s="6" t="n">
        <f aca="false">D73/C73</f>
        <v>0.0813106796116505</v>
      </c>
      <c r="F73" s="5" t="s">
        <v>289</v>
      </c>
    </row>
    <row r="74" customFormat="false" ht="15" hidden="false" customHeight="false" outlineLevel="0" collapsed="false">
      <c r="A74" s="4" t="s">
        <v>98</v>
      </c>
      <c r="B74" s="5" t="s">
        <v>290</v>
      </c>
      <c r="C74" s="5" t="n">
        <v>804</v>
      </c>
      <c r="D74" s="5" t="n">
        <v>49</v>
      </c>
      <c r="E74" s="6" t="n">
        <f aca="false">D74/C74</f>
        <v>0.0609452736318408</v>
      </c>
      <c r="F74" s="5" t="n">
        <f aca="false">C74-C73</f>
        <v>-20</v>
      </c>
    </row>
    <row r="75" customFormat="false" ht="15" hidden="false" customHeight="false" outlineLevel="0" collapsed="false">
      <c r="A75" s="4" t="s">
        <v>98</v>
      </c>
      <c r="B75" s="5" t="s">
        <v>291</v>
      </c>
      <c r="C75" s="5" t="n">
        <v>858</v>
      </c>
      <c r="D75" s="5" t="n">
        <v>42</v>
      </c>
      <c r="E75" s="6" t="n">
        <f aca="false">D75/C75</f>
        <v>0.048951048951049</v>
      </c>
      <c r="F75" s="5" t="n">
        <f aca="false">C75-C74</f>
        <v>54</v>
      </c>
    </row>
    <row r="76" customFormat="false" ht="15" hidden="false" customHeight="false" outlineLevel="0" collapsed="false">
      <c r="A76" s="4" t="s">
        <v>98</v>
      </c>
      <c r="B76" s="5" t="s">
        <v>292</v>
      </c>
      <c r="C76" s="5" t="n">
        <v>623</v>
      </c>
      <c r="D76" s="5" t="n">
        <v>49</v>
      </c>
      <c r="E76" s="6" t="n">
        <f aca="false">D76/C76</f>
        <v>0.0786516853932584</v>
      </c>
      <c r="F76" s="5" t="n">
        <f aca="false">C76-C75</f>
        <v>-235</v>
      </c>
    </row>
    <row r="77" customFormat="false" ht="15" hidden="false" customHeight="false" outlineLevel="0" collapsed="false">
      <c r="A77" s="4" t="s">
        <v>101</v>
      </c>
      <c r="B77" s="5" t="s">
        <v>288</v>
      </c>
      <c r="C77" s="5" t="n">
        <v>1514</v>
      </c>
      <c r="D77" s="5" t="n">
        <v>158</v>
      </c>
      <c r="E77" s="6" t="n">
        <f aca="false">D77/C77</f>
        <v>0.104359313077939</v>
      </c>
      <c r="F77" s="5" t="s">
        <v>289</v>
      </c>
    </row>
    <row r="78" customFormat="false" ht="15" hidden="false" customHeight="false" outlineLevel="0" collapsed="false">
      <c r="A78" s="4" t="s">
        <v>101</v>
      </c>
      <c r="B78" s="5" t="s">
        <v>290</v>
      </c>
      <c r="C78" s="5" t="n">
        <v>1256</v>
      </c>
      <c r="D78" s="5" t="n">
        <v>130</v>
      </c>
      <c r="E78" s="6" t="n">
        <f aca="false">D78/C78</f>
        <v>0.103503184713376</v>
      </c>
      <c r="F78" s="5" t="n">
        <f aca="false">C78-C77</f>
        <v>-258</v>
      </c>
    </row>
    <row r="79" customFormat="false" ht="15" hidden="false" customHeight="false" outlineLevel="0" collapsed="false">
      <c r="A79" s="4" t="s">
        <v>101</v>
      </c>
      <c r="B79" s="5" t="s">
        <v>291</v>
      </c>
      <c r="C79" s="5" t="n">
        <v>1418</v>
      </c>
      <c r="D79" s="5" t="n">
        <v>114</v>
      </c>
      <c r="E79" s="6" t="n">
        <f aca="false">D79/C79</f>
        <v>0.0803949224259521</v>
      </c>
      <c r="F79" s="5" t="n">
        <f aca="false">C79-C78</f>
        <v>162</v>
      </c>
    </row>
    <row r="80" customFormat="false" ht="15" hidden="false" customHeight="false" outlineLevel="0" collapsed="false">
      <c r="A80" s="4" t="s">
        <v>101</v>
      </c>
      <c r="B80" s="5" t="s">
        <v>292</v>
      </c>
      <c r="C80" s="5" t="n">
        <v>1150</v>
      </c>
      <c r="D80" s="5" t="n">
        <v>109</v>
      </c>
      <c r="E80" s="6" t="n">
        <f aca="false">D80/C80</f>
        <v>0.0947826086956522</v>
      </c>
      <c r="F80" s="5" t="n">
        <f aca="false">C80-C79</f>
        <v>-268</v>
      </c>
    </row>
    <row r="81" customFormat="false" ht="15" hidden="false" customHeight="false" outlineLevel="0" collapsed="false">
      <c r="A81" s="4" t="s">
        <v>104</v>
      </c>
      <c r="B81" s="5" t="s">
        <v>288</v>
      </c>
      <c r="C81" s="5" t="n">
        <v>1394</v>
      </c>
      <c r="D81" s="5" t="n">
        <v>152</v>
      </c>
      <c r="E81" s="6" t="n">
        <f aca="false">D81/C81</f>
        <v>0.109038737446198</v>
      </c>
      <c r="F81" s="5" t="s">
        <v>289</v>
      </c>
    </row>
    <row r="82" customFormat="false" ht="15" hidden="false" customHeight="false" outlineLevel="0" collapsed="false">
      <c r="A82" s="4" t="s">
        <v>104</v>
      </c>
      <c r="B82" s="5" t="s">
        <v>290</v>
      </c>
      <c r="C82" s="5" t="n">
        <v>1391</v>
      </c>
      <c r="D82" s="5" t="n">
        <v>99</v>
      </c>
      <c r="E82" s="6" t="n">
        <f aca="false">D82/C82</f>
        <v>0.0711718188353702</v>
      </c>
      <c r="F82" s="5" t="n">
        <f aca="false">C82-C81</f>
        <v>-3</v>
      </c>
    </row>
    <row r="83" customFormat="false" ht="15" hidden="false" customHeight="false" outlineLevel="0" collapsed="false">
      <c r="A83" s="4" t="s">
        <v>104</v>
      </c>
      <c r="B83" s="5" t="s">
        <v>291</v>
      </c>
      <c r="C83" s="5" t="n">
        <v>1053</v>
      </c>
      <c r="D83" s="5" t="n">
        <v>91</v>
      </c>
      <c r="E83" s="6" t="n">
        <f aca="false">D83/C83</f>
        <v>0.0864197530864198</v>
      </c>
      <c r="F83" s="5" t="n">
        <f aca="false">C83-C82</f>
        <v>-338</v>
      </c>
    </row>
    <row r="84" customFormat="false" ht="15" hidden="false" customHeight="false" outlineLevel="0" collapsed="false">
      <c r="A84" s="4" t="s">
        <v>104</v>
      </c>
      <c r="B84" s="5" t="s">
        <v>292</v>
      </c>
      <c r="C84" s="5" t="n">
        <v>1087</v>
      </c>
      <c r="D84" s="5" t="n">
        <v>108</v>
      </c>
      <c r="E84" s="6" t="n">
        <f aca="false">D84/C84</f>
        <v>0.0993560257589696</v>
      </c>
      <c r="F84" s="5" t="n">
        <f aca="false">C84-C83</f>
        <v>34</v>
      </c>
    </row>
    <row r="85" customFormat="false" ht="15" hidden="false" customHeight="false" outlineLevel="0" collapsed="false">
      <c r="A85" s="4" t="s">
        <v>107</v>
      </c>
      <c r="B85" s="5" t="s">
        <v>288</v>
      </c>
      <c r="C85" s="5" t="n">
        <v>2503</v>
      </c>
      <c r="D85" s="5" t="n">
        <v>219</v>
      </c>
      <c r="E85" s="6" t="n">
        <f aca="false">D85/C85</f>
        <v>0.0874950059928086</v>
      </c>
      <c r="F85" s="5" t="s">
        <v>289</v>
      </c>
    </row>
    <row r="86" customFormat="false" ht="15" hidden="false" customHeight="false" outlineLevel="0" collapsed="false">
      <c r="A86" s="4" t="s">
        <v>107</v>
      </c>
      <c r="B86" s="5" t="s">
        <v>290</v>
      </c>
      <c r="C86" s="5" t="n">
        <v>2886</v>
      </c>
      <c r="D86" s="5" t="n">
        <v>126</v>
      </c>
      <c r="E86" s="6" t="n">
        <f aca="false">D86/C86</f>
        <v>0.0436590436590437</v>
      </c>
      <c r="F86" s="5" t="n">
        <f aca="false">C86-C85</f>
        <v>383</v>
      </c>
    </row>
    <row r="87" customFormat="false" ht="15" hidden="false" customHeight="false" outlineLevel="0" collapsed="false">
      <c r="A87" s="4" t="s">
        <v>107</v>
      </c>
      <c r="B87" s="5" t="s">
        <v>291</v>
      </c>
      <c r="C87" s="5" t="n">
        <v>2230</v>
      </c>
      <c r="D87" s="5" t="n">
        <v>112</v>
      </c>
      <c r="E87" s="6" t="n">
        <f aca="false">D87/C87</f>
        <v>0.0502242152466368</v>
      </c>
      <c r="F87" s="5" t="n">
        <f aca="false">C87-C86</f>
        <v>-656</v>
      </c>
    </row>
    <row r="88" customFormat="false" ht="15" hidden="false" customHeight="false" outlineLevel="0" collapsed="false">
      <c r="A88" s="4" t="s">
        <v>107</v>
      </c>
      <c r="B88" s="5" t="s">
        <v>292</v>
      </c>
      <c r="C88" s="5" t="n">
        <v>2579</v>
      </c>
      <c r="D88" s="5" t="n">
        <v>190</v>
      </c>
      <c r="E88" s="6" t="n">
        <f aca="false">D88/C88</f>
        <v>0.0736719658782474</v>
      </c>
      <c r="F88" s="5" t="n">
        <f aca="false">C88-C87</f>
        <v>349</v>
      </c>
    </row>
    <row r="89" customFormat="false" ht="15" hidden="false" customHeight="false" outlineLevel="0" collapsed="false">
      <c r="A89" s="4" t="s">
        <v>109</v>
      </c>
      <c r="B89" s="5" t="s">
        <v>288</v>
      </c>
      <c r="C89" s="5" t="n">
        <v>968</v>
      </c>
      <c r="D89" s="5" t="n">
        <v>84</v>
      </c>
      <c r="E89" s="6" t="n">
        <f aca="false">D89/C89</f>
        <v>0.0867768595041322</v>
      </c>
      <c r="F89" s="5" t="s">
        <v>289</v>
      </c>
    </row>
    <row r="90" customFormat="false" ht="15" hidden="false" customHeight="false" outlineLevel="0" collapsed="false">
      <c r="A90" s="4" t="s">
        <v>109</v>
      </c>
      <c r="B90" s="5" t="s">
        <v>290</v>
      </c>
      <c r="C90" s="5" t="n">
        <v>733</v>
      </c>
      <c r="D90" s="5" t="n">
        <v>36</v>
      </c>
      <c r="E90" s="6" t="n">
        <f aca="false">D90/C90</f>
        <v>0.0491132332878581</v>
      </c>
      <c r="F90" s="5" t="n">
        <f aca="false">C90-C89</f>
        <v>-235</v>
      </c>
    </row>
    <row r="91" customFormat="false" ht="15" hidden="false" customHeight="false" outlineLevel="0" collapsed="false">
      <c r="A91" s="4" t="s">
        <v>109</v>
      </c>
      <c r="B91" s="5" t="s">
        <v>291</v>
      </c>
      <c r="C91" s="5" t="n">
        <v>843</v>
      </c>
      <c r="D91" s="5" t="n">
        <v>47</v>
      </c>
      <c r="E91" s="6" t="n">
        <f aca="false">D91/C91</f>
        <v>0.0557532621589561</v>
      </c>
      <c r="F91" s="5" t="n">
        <f aca="false">C91-C90</f>
        <v>110</v>
      </c>
    </row>
    <row r="92" customFormat="false" ht="15" hidden="false" customHeight="false" outlineLevel="0" collapsed="false">
      <c r="A92" s="4" t="s">
        <v>109</v>
      </c>
      <c r="B92" s="5" t="s">
        <v>292</v>
      </c>
      <c r="C92" s="5" t="n">
        <v>959</v>
      </c>
      <c r="D92" s="5" t="n">
        <v>46</v>
      </c>
      <c r="E92" s="6" t="n">
        <f aca="false">D92/C92</f>
        <v>0.0479666319082377</v>
      </c>
      <c r="F92" s="5" t="n">
        <f aca="false">C92-C91</f>
        <v>116</v>
      </c>
    </row>
    <row r="93" customFormat="false" ht="15" hidden="false" customHeight="false" outlineLevel="0" collapsed="false">
      <c r="A93" s="4" t="s">
        <v>111</v>
      </c>
      <c r="B93" s="5" t="s">
        <v>288</v>
      </c>
      <c r="C93" s="5" t="n">
        <v>1393</v>
      </c>
      <c r="D93" s="5" t="n">
        <v>148</v>
      </c>
      <c r="E93" s="6" t="n">
        <f aca="false">D93/C93</f>
        <v>0.106245513280689</v>
      </c>
      <c r="F93" s="5" t="s">
        <v>289</v>
      </c>
    </row>
    <row r="94" customFormat="false" ht="15" hidden="false" customHeight="false" outlineLevel="0" collapsed="false">
      <c r="A94" s="4" t="s">
        <v>111</v>
      </c>
      <c r="B94" s="5" t="s">
        <v>290</v>
      </c>
      <c r="C94" s="5" t="n">
        <v>1338</v>
      </c>
      <c r="D94" s="5" t="n">
        <v>73</v>
      </c>
      <c r="E94" s="6" t="n">
        <f aca="false">D94/C94</f>
        <v>0.054559043348281</v>
      </c>
      <c r="F94" s="5" t="n">
        <f aca="false">C94-C93</f>
        <v>-55</v>
      </c>
    </row>
    <row r="95" customFormat="false" ht="15" hidden="false" customHeight="false" outlineLevel="0" collapsed="false">
      <c r="A95" s="4" t="s">
        <v>111</v>
      </c>
      <c r="B95" s="5" t="s">
        <v>291</v>
      </c>
      <c r="C95" s="5" t="n">
        <v>992</v>
      </c>
      <c r="D95" s="5" t="n">
        <v>101</v>
      </c>
      <c r="E95" s="6" t="n">
        <f aca="false">D95/C95</f>
        <v>0.101814516129032</v>
      </c>
      <c r="F95" s="5" t="n">
        <f aca="false">C95-C94</f>
        <v>-346</v>
      </c>
    </row>
    <row r="96" customFormat="false" ht="15" hidden="false" customHeight="false" outlineLevel="0" collapsed="false">
      <c r="A96" s="4" t="s">
        <v>111</v>
      </c>
      <c r="B96" s="5" t="s">
        <v>292</v>
      </c>
      <c r="C96" s="5" t="n">
        <v>1062</v>
      </c>
      <c r="D96" s="5" t="n">
        <v>57</v>
      </c>
      <c r="E96" s="6" t="n">
        <f aca="false">D96/C96</f>
        <v>0.0536723163841808</v>
      </c>
      <c r="F96" s="5" t="n">
        <f aca="false">C96-C95</f>
        <v>70</v>
      </c>
    </row>
    <row r="97" customFormat="false" ht="15" hidden="false" customHeight="false" outlineLevel="0" collapsed="false">
      <c r="A97" s="4" t="s">
        <v>113</v>
      </c>
      <c r="B97" s="5" t="s">
        <v>288</v>
      </c>
      <c r="C97" s="5" t="n">
        <v>2626</v>
      </c>
      <c r="D97" s="5" t="n">
        <v>170</v>
      </c>
      <c r="E97" s="6" t="n">
        <f aca="false">D97/C97</f>
        <v>0.0647372429550647</v>
      </c>
      <c r="F97" s="5" t="s">
        <v>289</v>
      </c>
    </row>
    <row r="98" customFormat="false" ht="15" hidden="false" customHeight="false" outlineLevel="0" collapsed="false">
      <c r="A98" s="4" t="s">
        <v>113</v>
      </c>
      <c r="B98" s="5" t="s">
        <v>290</v>
      </c>
      <c r="C98" s="5" t="n">
        <v>2376</v>
      </c>
      <c r="D98" s="5" t="n">
        <v>174</v>
      </c>
      <c r="E98" s="6" t="n">
        <f aca="false">D98/C98</f>
        <v>0.0732323232323232</v>
      </c>
      <c r="F98" s="5" t="n">
        <f aca="false">C98-C97</f>
        <v>-250</v>
      </c>
    </row>
    <row r="99" customFormat="false" ht="15" hidden="false" customHeight="false" outlineLevel="0" collapsed="false">
      <c r="A99" s="4" t="s">
        <v>113</v>
      </c>
      <c r="B99" s="5" t="s">
        <v>291</v>
      </c>
      <c r="C99" s="5" t="n">
        <v>2862</v>
      </c>
      <c r="D99" s="5" t="n">
        <v>132</v>
      </c>
      <c r="E99" s="6" t="n">
        <f aca="false">D99/C99</f>
        <v>0.0461215932914046</v>
      </c>
      <c r="F99" s="5" t="n">
        <f aca="false">C99-C98</f>
        <v>486</v>
      </c>
    </row>
    <row r="100" customFormat="false" ht="15" hidden="false" customHeight="false" outlineLevel="0" collapsed="false">
      <c r="A100" s="4" t="s">
        <v>113</v>
      </c>
      <c r="B100" s="5" t="s">
        <v>292</v>
      </c>
      <c r="C100" s="5" t="n">
        <v>3206</v>
      </c>
      <c r="D100" s="5" t="n">
        <v>206</v>
      </c>
      <c r="E100" s="6" t="n">
        <f aca="false">D100/C100</f>
        <v>0.0642545227698066</v>
      </c>
      <c r="F100" s="5" t="n">
        <f aca="false">C100-C99</f>
        <v>344</v>
      </c>
    </row>
    <row r="101" customFormat="false" ht="15" hidden="false" customHeight="false" outlineLevel="0" collapsed="false">
      <c r="A101" s="4" t="s">
        <v>115</v>
      </c>
      <c r="B101" s="5" t="s">
        <v>288</v>
      </c>
      <c r="C101" s="5" t="n">
        <v>1312</v>
      </c>
      <c r="D101" s="5" t="n">
        <v>128</v>
      </c>
      <c r="E101" s="6" t="n">
        <f aca="false">D101/C101</f>
        <v>0.0975609756097561</v>
      </c>
      <c r="F101" s="5" t="s">
        <v>289</v>
      </c>
    </row>
    <row r="102" customFormat="false" ht="15" hidden="false" customHeight="false" outlineLevel="0" collapsed="false">
      <c r="A102" s="4" t="s">
        <v>115</v>
      </c>
      <c r="B102" s="5" t="s">
        <v>290</v>
      </c>
      <c r="C102" s="5" t="n">
        <v>1268</v>
      </c>
      <c r="D102" s="5" t="n">
        <v>124</v>
      </c>
      <c r="E102" s="6" t="n">
        <f aca="false">D102/C102</f>
        <v>0.0977917981072555</v>
      </c>
      <c r="F102" s="5" t="n">
        <f aca="false">C102-C101</f>
        <v>-44</v>
      </c>
    </row>
    <row r="103" customFormat="false" ht="15" hidden="false" customHeight="false" outlineLevel="0" collapsed="false">
      <c r="A103" s="4" t="s">
        <v>115</v>
      </c>
      <c r="B103" s="5" t="s">
        <v>291</v>
      </c>
      <c r="C103" s="5" t="n">
        <v>937</v>
      </c>
      <c r="D103" s="5" t="n">
        <v>82</v>
      </c>
      <c r="E103" s="6" t="n">
        <f aca="false">D103/C103</f>
        <v>0.0875133404482391</v>
      </c>
      <c r="F103" s="5" t="n">
        <f aca="false">C103-C102</f>
        <v>-331</v>
      </c>
    </row>
    <row r="104" customFormat="false" ht="15" hidden="false" customHeight="false" outlineLevel="0" collapsed="false">
      <c r="A104" s="4" t="s">
        <v>115</v>
      </c>
      <c r="B104" s="5" t="s">
        <v>292</v>
      </c>
      <c r="C104" s="5" t="n">
        <v>953</v>
      </c>
      <c r="D104" s="5" t="n">
        <v>74</v>
      </c>
      <c r="E104" s="6" t="n">
        <f aca="false">D104/C104</f>
        <v>0.0776495278069255</v>
      </c>
      <c r="F104" s="5" t="n">
        <f aca="false">C104-C103</f>
        <v>16</v>
      </c>
    </row>
    <row r="105" customFormat="false" ht="15" hidden="false" customHeight="false" outlineLevel="0" collapsed="false">
      <c r="A105" s="4" t="s">
        <v>117</v>
      </c>
      <c r="B105" s="5" t="s">
        <v>288</v>
      </c>
      <c r="C105" s="5" t="n">
        <v>1272</v>
      </c>
      <c r="D105" s="5" t="n">
        <v>80</v>
      </c>
      <c r="E105" s="6" t="n">
        <f aca="false">D105/C105</f>
        <v>0.0628930817610063</v>
      </c>
      <c r="F105" s="5" t="s">
        <v>289</v>
      </c>
    </row>
    <row r="106" customFormat="false" ht="15" hidden="false" customHeight="false" outlineLevel="0" collapsed="false">
      <c r="A106" s="4" t="s">
        <v>117</v>
      </c>
      <c r="B106" s="5" t="s">
        <v>290</v>
      </c>
      <c r="C106" s="5" t="n">
        <v>1485</v>
      </c>
      <c r="D106" s="5" t="n">
        <v>159</v>
      </c>
      <c r="E106" s="6" t="n">
        <f aca="false">D106/C106</f>
        <v>0.107070707070707</v>
      </c>
      <c r="F106" s="5" t="n">
        <f aca="false">C106-C105</f>
        <v>213</v>
      </c>
    </row>
    <row r="107" customFormat="false" ht="15" hidden="false" customHeight="false" outlineLevel="0" collapsed="false">
      <c r="A107" s="4" t="s">
        <v>117</v>
      </c>
      <c r="B107" s="5" t="s">
        <v>291</v>
      </c>
      <c r="C107" s="5" t="n">
        <v>1711</v>
      </c>
      <c r="D107" s="5" t="n">
        <v>137</v>
      </c>
      <c r="E107" s="6" t="n">
        <f aca="false">D107/C107</f>
        <v>0.0800701344243133</v>
      </c>
      <c r="F107" s="5" t="n">
        <f aca="false">C107-C106</f>
        <v>226</v>
      </c>
    </row>
    <row r="108" customFormat="false" ht="15" hidden="false" customHeight="false" outlineLevel="0" collapsed="false">
      <c r="A108" s="4" t="s">
        <v>117</v>
      </c>
      <c r="B108" s="5" t="s">
        <v>292</v>
      </c>
      <c r="C108" s="5" t="n">
        <v>1691</v>
      </c>
      <c r="D108" s="5" t="n">
        <v>101</v>
      </c>
      <c r="E108" s="6" t="n">
        <f aca="false">D108/C108</f>
        <v>0.0597279716144293</v>
      </c>
      <c r="F108" s="5" t="n">
        <f aca="false">C108-C107</f>
        <v>-20</v>
      </c>
    </row>
    <row r="109" customFormat="false" ht="15" hidden="false" customHeight="false" outlineLevel="0" collapsed="false">
      <c r="A109" s="4" t="s">
        <v>119</v>
      </c>
      <c r="B109" s="5" t="s">
        <v>288</v>
      </c>
      <c r="C109" s="5" t="n">
        <v>1115</v>
      </c>
      <c r="D109" s="5" t="n">
        <v>61</v>
      </c>
      <c r="E109" s="6" t="n">
        <f aca="false">D109/C109</f>
        <v>0.0547085201793722</v>
      </c>
      <c r="F109" s="5" t="s">
        <v>289</v>
      </c>
    </row>
    <row r="110" customFormat="false" ht="15" hidden="false" customHeight="false" outlineLevel="0" collapsed="false">
      <c r="A110" s="4" t="s">
        <v>119</v>
      </c>
      <c r="B110" s="5" t="s">
        <v>290</v>
      </c>
      <c r="C110" s="5" t="n">
        <v>1130</v>
      </c>
      <c r="D110" s="5" t="n">
        <v>62</v>
      </c>
      <c r="E110" s="6" t="n">
        <f aca="false">D110/C110</f>
        <v>0.0548672566371681</v>
      </c>
      <c r="F110" s="5" t="n">
        <f aca="false">C110-C109</f>
        <v>15</v>
      </c>
    </row>
    <row r="111" customFormat="false" ht="15" hidden="false" customHeight="false" outlineLevel="0" collapsed="false">
      <c r="A111" s="4" t="s">
        <v>119</v>
      </c>
      <c r="B111" s="5" t="s">
        <v>291</v>
      </c>
      <c r="C111" s="5" t="n">
        <v>1243</v>
      </c>
      <c r="D111" s="5" t="n">
        <v>129</v>
      </c>
      <c r="E111" s="6" t="n">
        <f aca="false">D111/C111</f>
        <v>0.103781174577635</v>
      </c>
      <c r="F111" s="5" t="n">
        <f aca="false">C111-C110</f>
        <v>113</v>
      </c>
    </row>
    <row r="112" customFormat="false" ht="15" hidden="false" customHeight="false" outlineLevel="0" collapsed="false">
      <c r="A112" s="4" t="s">
        <v>119</v>
      </c>
      <c r="B112" s="5" t="s">
        <v>292</v>
      </c>
      <c r="C112" s="5" t="n">
        <v>1104</v>
      </c>
      <c r="D112" s="5" t="n">
        <v>75</v>
      </c>
      <c r="E112" s="6" t="n">
        <f aca="false">D112/C112</f>
        <v>0.0679347826086957</v>
      </c>
      <c r="F112" s="5" t="n">
        <f aca="false">C112-C111</f>
        <v>-139</v>
      </c>
    </row>
    <row r="113" customFormat="false" ht="15" hidden="false" customHeight="false" outlineLevel="0" collapsed="false">
      <c r="A113" s="4" t="s">
        <v>121</v>
      </c>
      <c r="B113" s="5" t="s">
        <v>288</v>
      </c>
      <c r="C113" s="5" t="n">
        <v>748</v>
      </c>
      <c r="D113" s="5" t="n">
        <v>43</v>
      </c>
      <c r="E113" s="6" t="n">
        <f aca="false">D113/C113</f>
        <v>0.0574866310160428</v>
      </c>
      <c r="F113" s="5" t="s">
        <v>289</v>
      </c>
    </row>
    <row r="114" customFormat="false" ht="15" hidden="false" customHeight="false" outlineLevel="0" collapsed="false">
      <c r="A114" s="4" t="s">
        <v>121</v>
      </c>
      <c r="B114" s="5" t="s">
        <v>290</v>
      </c>
      <c r="C114" s="5" t="n">
        <v>724</v>
      </c>
      <c r="D114" s="5" t="n">
        <v>37</v>
      </c>
      <c r="E114" s="6" t="n">
        <f aca="false">D114/C114</f>
        <v>0.0511049723756906</v>
      </c>
      <c r="F114" s="5" t="n">
        <f aca="false">C114-C113</f>
        <v>-24</v>
      </c>
    </row>
    <row r="115" customFormat="false" ht="15" hidden="false" customHeight="false" outlineLevel="0" collapsed="false">
      <c r="A115" s="4" t="s">
        <v>121</v>
      </c>
      <c r="B115" s="5" t="s">
        <v>291</v>
      </c>
      <c r="C115" s="5" t="n">
        <v>595</v>
      </c>
      <c r="D115" s="5" t="n">
        <v>58</v>
      </c>
      <c r="E115" s="6" t="n">
        <f aca="false">D115/C115</f>
        <v>0.0974789915966387</v>
      </c>
      <c r="F115" s="5" t="n">
        <f aca="false">C115-C114</f>
        <v>-129</v>
      </c>
    </row>
    <row r="116" customFormat="false" ht="15" hidden="false" customHeight="false" outlineLevel="0" collapsed="false">
      <c r="A116" s="4" t="s">
        <v>121</v>
      </c>
      <c r="B116" s="5" t="s">
        <v>292</v>
      </c>
      <c r="C116" s="5" t="n">
        <v>813</v>
      </c>
      <c r="D116" s="5" t="n">
        <v>70</v>
      </c>
      <c r="E116" s="6" t="n">
        <f aca="false">D116/C116</f>
        <v>0.0861008610086101</v>
      </c>
      <c r="F116" s="5" t="n">
        <f aca="false">C116-C115</f>
        <v>218</v>
      </c>
    </row>
    <row r="117" customFormat="false" ht="15" hidden="false" customHeight="false" outlineLevel="0" collapsed="false">
      <c r="A117" s="4" t="s">
        <v>123</v>
      </c>
      <c r="B117" s="5" t="s">
        <v>288</v>
      </c>
      <c r="C117" s="5" t="n">
        <v>1730</v>
      </c>
      <c r="D117" s="5" t="n">
        <v>127</v>
      </c>
      <c r="E117" s="6" t="n">
        <f aca="false">D117/C117</f>
        <v>0.0734104046242775</v>
      </c>
      <c r="F117" s="5" t="s">
        <v>289</v>
      </c>
    </row>
    <row r="118" customFormat="false" ht="15" hidden="false" customHeight="false" outlineLevel="0" collapsed="false">
      <c r="A118" s="4" t="s">
        <v>123</v>
      </c>
      <c r="B118" s="5" t="s">
        <v>290</v>
      </c>
      <c r="C118" s="5" t="n">
        <v>2016</v>
      </c>
      <c r="D118" s="5" t="n">
        <v>97</v>
      </c>
      <c r="E118" s="6" t="n">
        <f aca="false">D118/C118</f>
        <v>0.0481150793650794</v>
      </c>
      <c r="F118" s="5" t="n">
        <f aca="false">C118-C117</f>
        <v>286</v>
      </c>
    </row>
    <row r="119" customFormat="false" ht="15" hidden="false" customHeight="false" outlineLevel="0" collapsed="false">
      <c r="A119" s="4" t="s">
        <v>123</v>
      </c>
      <c r="B119" s="5" t="s">
        <v>291</v>
      </c>
      <c r="C119" s="5" t="n">
        <v>1666</v>
      </c>
      <c r="D119" s="5" t="n">
        <v>182</v>
      </c>
      <c r="E119" s="6" t="n">
        <f aca="false">D119/C119</f>
        <v>0.109243697478992</v>
      </c>
      <c r="F119" s="5" t="n">
        <f aca="false">C119-C118</f>
        <v>-350</v>
      </c>
    </row>
    <row r="120" customFormat="false" ht="15" hidden="false" customHeight="false" outlineLevel="0" collapsed="false">
      <c r="A120" s="4" t="s">
        <v>123</v>
      </c>
      <c r="B120" s="5" t="s">
        <v>292</v>
      </c>
      <c r="C120" s="5" t="n">
        <v>1735</v>
      </c>
      <c r="D120" s="5" t="n">
        <v>102</v>
      </c>
      <c r="E120" s="6" t="n">
        <f aca="false">D120/C120</f>
        <v>0.0587896253602305</v>
      </c>
      <c r="F120" s="5" t="n">
        <f aca="false">C120-C119</f>
        <v>69</v>
      </c>
    </row>
    <row r="121" customFormat="false" ht="15" hidden="false" customHeight="false" outlineLevel="0" collapsed="false">
      <c r="A121" s="4" t="s">
        <v>125</v>
      </c>
      <c r="B121" s="5" t="s">
        <v>288</v>
      </c>
      <c r="C121" s="5" t="n">
        <v>1587</v>
      </c>
      <c r="D121" s="5" t="n">
        <v>82</v>
      </c>
      <c r="E121" s="6" t="n">
        <f aca="false">D121/C121</f>
        <v>0.0516698172652804</v>
      </c>
      <c r="F121" s="5" t="s">
        <v>289</v>
      </c>
    </row>
    <row r="122" customFormat="false" ht="15" hidden="false" customHeight="false" outlineLevel="0" collapsed="false">
      <c r="A122" s="4" t="s">
        <v>125</v>
      </c>
      <c r="B122" s="5" t="s">
        <v>290</v>
      </c>
      <c r="C122" s="5" t="n">
        <v>1635</v>
      </c>
      <c r="D122" s="5" t="n">
        <v>106</v>
      </c>
      <c r="E122" s="6" t="n">
        <f aca="false">D122/C122</f>
        <v>0.0648318042813456</v>
      </c>
      <c r="F122" s="5" t="n">
        <f aca="false">C122-C121</f>
        <v>48</v>
      </c>
    </row>
    <row r="123" customFormat="false" ht="15" hidden="false" customHeight="false" outlineLevel="0" collapsed="false">
      <c r="A123" s="4" t="s">
        <v>125</v>
      </c>
      <c r="B123" s="5" t="s">
        <v>291</v>
      </c>
      <c r="C123" s="5" t="n">
        <v>2047</v>
      </c>
      <c r="D123" s="5" t="n">
        <v>192</v>
      </c>
      <c r="E123" s="6" t="n">
        <f aca="false">D123/C123</f>
        <v>0.0937957987298486</v>
      </c>
      <c r="F123" s="5" t="n">
        <f aca="false">C123-C122</f>
        <v>412</v>
      </c>
    </row>
    <row r="124" customFormat="false" ht="15" hidden="false" customHeight="false" outlineLevel="0" collapsed="false">
      <c r="A124" s="4" t="s">
        <v>125</v>
      </c>
      <c r="B124" s="5" t="s">
        <v>292</v>
      </c>
      <c r="C124" s="5" t="n">
        <v>1586</v>
      </c>
      <c r="D124" s="5" t="n">
        <v>141</v>
      </c>
      <c r="E124" s="6" t="n">
        <f aca="false">D124/C124</f>
        <v>0.0889029003783102</v>
      </c>
      <c r="F124" s="5" t="n">
        <f aca="false">C124-C123</f>
        <v>-461</v>
      </c>
    </row>
    <row r="125" customFormat="false" ht="15" hidden="false" customHeight="false" outlineLevel="0" collapsed="false">
      <c r="A125" s="4" t="s">
        <v>127</v>
      </c>
      <c r="B125" s="5" t="s">
        <v>288</v>
      </c>
      <c r="C125" s="5" t="n">
        <v>1223</v>
      </c>
      <c r="D125" s="5" t="n">
        <v>143</v>
      </c>
      <c r="E125" s="6" t="n">
        <f aca="false">D125/C125</f>
        <v>0.116925592804579</v>
      </c>
      <c r="F125" s="5" t="s">
        <v>289</v>
      </c>
    </row>
    <row r="126" customFormat="false" ht="15" hidden="false" customHeight="false" outlineLevel="0" collapsed="false">
      <c r="A126" s="4" t="s">
        <v>127</v>
      </c>
      <c r="B126" s="5" t="s">
        <v>290</v>
      </c>
      <c r="C126" s="5" t="n">
        <v>1167</v>
      </c>
      <c r="D126" s="5" t="n">
        <v>84</v>
      </c>
      <c r="E126" s="6" t="n">
        <f aca="false">D126/C126</f>
        <v>0.0719794344473008</v>
      </c>
      <c r="F126" s="5" t="n">
        <f aca="false">C126-C125</f>
        <v>-56</v>
      </c>
    </row>
    <row r="127" customFormat="false" ht="15" hidden="false" customHeight="false" outlineLevel="0" collapsed="false">
      <c r="A127" s="4" t="s">
        <v>127</v>
      </c>
      <c r="B127" s="5" t="s">
        <v>291</v>
      </c>
      <c r="C127" s="5" t="n">
        <v>1318</v>
      </c>
      <c r="D127" s="5" t="n">
        <v>99</v>
      </c>
      <c r="E127" s="6" t="n">
        <f aca="false">D127/C127</f>
        <v>0.075113808801214</v>
      </c>
      <c r="F127" s="5" t="n">
        <f aca="false">C127-C126</f>
        <v>151</v>
      </c>
    </row>
    <row r="128" customFormat="false" ht="15" hidden="false" customHeight="false" outlineLevel="0" collapsed="false">
      <c r="A128" s="4" t="s">
        <v>127</v>
      </c>
      <c r="B128" s="5" t="s">
        <v>292</v>
      </c>
      <c r="C128" s="5" t="n">
        <v>1561</v>
      </c>
      <c r="D128" s="5" t="n">
        <v>122</v>
      </c>
      <c r="E128" s="6" t="n">
        <f aca="false">D128/C128</f>
        <v>0.0781550288276746</v>
      </c>
      <c r="F128" s="5" t="n">
        <f aca="false">C128-C127</f>
        <v>243</v>
      </c>
    </row>
    <row r="129" customFormat="false" ht="15" hidden="false" customHeight="false" outlineLevel="0" collapsed="false">
      <c r="A129" s="4" t="s">
        <v>129</v>
      </c>
      <c r="B129" s="5" t="s">
        <v>288</v>
      </c>
      <c r="C129" s="5" t="n">
        <v>3214</v>
      </c>
      <c r="D129" s="5" t="n">
        <v>184</v>
      </c>
      <c r="E129" s="6" t="n">
        <f aca="false">D129/C129</f>
        <v>0.0572495332918482</v>
      </c>
      <c r="F129" s="5" t="s">
        <v>289</v>
      </c>
    </row>
    <row r="130" customFormat="false" ht="15" hidden="false" customHeight="false" outlineLevel="0" collapsed="false">
      <c r="A130" s="4" t="s">
        <v>129</v>
      </c>
      <c r="B130" s="5" t="s">
        <v>290</v>
      </c>
      <c r="C130" s="5" t="n">
        <v>2617</v>
      </c>
      <c r="D130" s="5" t="n">
        <v>251</v>
      </c>
      <c r="E130" s="6" t="n">
        <f aca="false">D130/C130</f>
        <v>0.0959113488727551</v>
      </c>
      <c r="F130" s="5" t="n">
        <f aca="false">C130-C129</f>
        <v>-597</v>
      </c>
    </row>
    <row r="131" customFormat="false" ht="15" hidden="false" customHeight="false" outlineLevel="0" collapsed="false">
      <c r="A131" s="4" t="s">
        <v>129</v>
      </c>
      <c r="B131" s="5" t="s">
        <v>291</v>
      </c>
      <c r="C131" s="5" t="n">
        <v>3311</v>
      </c>
      <c r="D131" s="5" t="n">
        <v>279</v>
      </c>
      <c r="E131" s="6" t="n">
        <f aca="false">D131/C131</f>
        <v>0.0842645726366657</v>
      </c>
      <c r="F131" s="5" t="n">
        <f aca="false">C131-C130</f>
        <v>694</v>
      </c>
    </row>
    <row r="132" customFormat="false" ht="15" hidden="false" customHeight="false" outlineLevel="0" collapsed="false">
      <c r="A132" s="4" t="s">
        <v>129</v>
      </c>
      <c r="B132" s="5" t="s">
        <v>292</v>
      </c>
      <c r="C132" s="5" t="n">
        <v>3283</v>
      </c>
      <c r="D132" s="5" t="n">
        <v>192</v>
      </c>
      <c r="E132" s="6" t="n">
        <f aca="false">D132/C132</f>
        <v>0.0584830947304295</v>
      </c>
      <c r="F132" s="5" t="n">
        <f aca="false">C132-C131</f>
        <v>-28</v>
      </c>
    </row>
    <row r="133" customFormat="false" ht="15" hidden="false" customHeight="false" outlineLevel="0" collapsed="false">
      <c r="A133" s="4" t="s">
        <v>131</v>
      </c>
      <c r="B133" s="5" t="s">
        <v>288</v>
      </c>
      <c r="C133" s="5" t="n">
        <v>2446</v>
      </c>
      <c r="D133" s="5" t="n">
        <v>254</v>
      </c>
      <c r="E133" s="6" t="n">
        <f aca="false">D133/C133</f>
        <v>0.103843008994276</v>
      </c>
      <c r="F133" s="5" t="s">
        <v>289</v>
      </c>
    </row>
    <row r="134" customFormat="false" ht="15" hidden="false" customHeight="false" outlineLevel="0" collapsed="false">
      <c r="A134" s="4" t="s">
        <v>131</v>
      </c>
      <c r="B134" s="5" t="s">
        <v>290</v>
      </c>
      <c r="C134" s="5" t="n">
        <v>2794</v>
      </c>
      <c r="D134" s="5" t="n">
        <v>206</v>
      </c>
      <c r="E134" s="6" t="n">
        <f aca="false">D134/C134</f>
        <v>0.0737294201861131</v>
      </c>
      <c r="F134" s="5" t="n">
        <f aca="false">C134-C133</f>
        <v>348</v>
      </c>
    </row>
    <row r="135" customFormat="false" ht="15" hidden="false" customHeight="false" outlineLevel="0" collapsed="false">
      <c r="A135" s="4" t="s">
        <v>131</v>
      </c>
      <c r="B135" s="5" t="s">
        <v>291</v>
      </c>
      <c r="C135" s="5" t="n">
        <v>2742</v>
      </c>
      <c r="D135" s="5" t="n">
        <v>145</v>
      </c>
      <c r="E135" s="6" t="n">
        <f aca="false">D135/C135</f>
        <v>0.0528811086797958</v>
      </c>
      <c r="F135" s="5" t="n">
        <f aca="false">C135-C134</f>
        <v>-52</v>
      </c>
    </row>
    <row r="136" customFormat="false" ht="15" hidden="false" customHeight="false" outlineLevel="0" collapsed="false">
      <c r="A136" s="4" t="s">
        <v>131</v>
      </c>
      <c r="B136" s="5" t="s">
        <v>292</v>
      </c>
      <c r="C136" s="5" t="n">
        <v>2600</v>
      </c>
      <c r="D136" s="5" t="n">
        <v>140</v>
      </c>
      <c r="E136" s="6" t="n">
        <f aca="false">D136/C136</f>
        <v>0.0538461538461539</v>
      </c>
      <c r="F136" s="5" t="n">
        <f aca="false">C136-C135</f>
        <v>-142</v>
      </c>
    </row>
    <row r="137" customFormat="false" ht="15" hidden="false" customHeight="false" outlineLevel="0" collapsed="false">
      <c r="A137" s="4" t="s">
        <v>133</v>
      </c>
      <c r="B137" s="5" t="s">
        <v>288</v>
      </c>
      <c r="C137" s="5" t="n">
        <v>1093</v>
      </c>
      <c r="D137" s="5" t="n">
        <v>113</v>
      </c>
      <c r="E137" s="6" t="n">
        <f aca="false">D137/C137</f>
        <v>0.103385178408051</v>
      </c>
      <c r="F137" s="5" t="s">
        <v>289</v>
      </c>
    </row>
    <row r="138" customFormat="false" ht="15" hidden="false" customHeight="false" outlineLevel="0" collapsed="false">
      <c r="A138" s="4" t="s">
        <v>133</v>
      </c>
      <c r="B138" s="5" t="s">
        <v>290</v>
      </c>
      <c r="C138" s="5" t="n">
        <v>1002</v>
      </c>
      <c r="D138" s="5" t="n">
        <v>41</v>
      </c>
      <c r="E138" s="6" t="n">
        <f aca="false">D138/C138</f>
        <v>0.0409181636726547</v>
      </c>
      <c r="F138" s="5" t="n">
        <f aca="false">C138-C137</f>
        <v>-91</v>
      </c>
    </row>
    <row r="139" customFormat="false" ht="15" hidden="false" customHeight="false" outlineLevel="0" collapsed="false">
      <c r="A139" s="4" t="s">
        <v>133</v>
      </c>
      <c r="B139" s="5" t="s">
        <v>291</v>
      </c>
      <c r="C139" s="5" t="n">
        <v>1126</v>
      </c>
      <c r="D139" s="5" t="n">
        <v>58</v>
      </c>
      <c r="E139" s="6" t="n">
        <f aca="false">D139/C139</f>
        <v>0.0515097690941385</v>
      </c>
      <c r="F139" s="5" t="n">
        <f aca="false">C139-C138</f>
        <v>124</v>
      </c>
    </row>
    <row r="140" customFormat="false" ht="15" hidden="false" customHeight="false" outlineLevel="0" collapsed="false">
      <c r="A140" s="4" t="s">
        <v>133</v>
      </c>
      <c r="B140" s="5" t="s">
        <v>292</v>
      </c>
      <c r="C140" s="5" t="n">
        <v>1058</v>
      </c>
      <c r="D140" s="5" t="n">
        <v>48</v>
      </c>
      <c r="E140" s="6" t="n">
        <f aca="false">D140/C140</f>
        <v>0.0453686200378072</v>
      </c>
      <c r="F140" s="5" t="n">
        <f aca="false">C140-C139</f>
        <v>-68</v>
      </c>
    </row>
    <row r="141" customFormat="false" ht="15" hidden="false" customHeight="false" outlineLevel="0" collapsed="false">
      <c r="A141" s="4" t="s">
        <v>135</v>
      </c>
      <c r="B141" s="5" t="s">
        <v>288</v>
      </c>
      <c r="C141" s="5" t="n">
        <v>2532</v>
      </c>
      <c r="D141" s="5" t="n">
        <v>237</v>
      </c>
      <c r="E141" s="6" t="n">
        <f aca="false">D141/C141</f>
        <v>0.0936018957345972</v>
      </c>
      <c r="F141" s="5" t="s">
        <v>289</v>
      </c>
    </row>
    <row r="142" customFormat="false" ht="15" hidden="false" customHeight="false" outlineLevel="0" collapsed="false">
      <c r="A142" s="4" t="s">
        <v>135</v>
      </c>
      <c r="B142" s="5" t="s">
        <v>290</v>
      </c>
      <c r="C142" s="5" t="n">
        <v>2502</v>
      </c>
      <c r="D142" s="5" t="n">
        <v>172</v>
      </c>
      <c r="E142" s="6" t="n">
        <f aca="false">D142/C142</f>
        <v>0.0687450039968026</v>
      </c>
      <c r="F142" s="5" t="n">
        <f aca="false">C142-C141</f>
        <v>-30</v>
      </c>
    </row>
    <row r="143" customFormat="false" ht="15" hidden="false" customHeight="false" outlineLevel="0" collapsed="false">
      <c r="A143" s="4" t="s">
        <v>135</v>
      </c>
      <c r="B143" s="5" t="s">
        <v>291</v>
      </c>
      <c r="C143" s="5" t="n">
        <v>2787</v>
      </c>
      <c r="D143" s="5" t="n">
        <v>265</v>
      </c>
      <c r="E143" s="6" t="n">
        <f aca="false">D143/C143</f>
        <v>0.0950843200574094</v>
      </c>
      <c r="F143" s="5" t="n">
        <f aca="false">C143-C142</f>
        <v>285</v>
      </c>
    </row>
    <row r="144" customFormat="false" ht="15" hidden="false" customHeight="false" outlineLevel="0" collapsed="false">
      <c r="A144" s="4" t="s">
        <v>135</v>
      </c>
      <c r="B144" s="5" t="s">
        <v>292</v>
      </c>
      <c r="C144" s="5" t="n">
        <v>3027</v>
      </c>
      <c r="D144" s="5" t="n">
        <v>145</v>
      </c>
      <c r="E144" s="6" t="n">
        <f aca="false">D144/C144</f>
        <v>0.0479022134126198</v>
      </c>
      <c r="F144" s="5" t="n">
        <f aca="false">C144-C143</f>
        <v>240</v>
      </c>
    </row>
    <row r="145" customFormat="false" ht="15" hidden="false" customHeight="false" outlineLevel="0" collapsed="false">
      <c r="A145" s="4" t="s">
        <v>137</v>
      </c>
      <c r="B145" s="5" t="s">
        <v>288</v>
      </c>
      <c r="C145" s="5" t="n">
        <v>1449</v>
      </c>
      <c r="D145" s="5" t="n">
        <v>61</v>
      </c>
      <c r="E145" s="6" t="n">
        <f aca="false">D145/C145</f>
        <v>0.0420979986197378</v>
      </c>
      <c r="F145" s="5" t="s">
        <v>289</v>
      </c>
    </row>
    <row r="146" customFormat="false" ht="15" hidden="false" customHeight="false" outlineLevel="0" collapsed="false">
      <c r="A146" s="4" t="s">
        <v>137</v>
      </c>
      <c r="B146" s="5" t="s">
        <v>290</v>
      </c>
      <c r="C146" s="5" t="n">
        <v>1654</v>
      </c>
      <c r="D146" s="5" t="n">
        <v>122</v>
      </c>
      <c r="E146" s="6" t="n">
        <f aca="false">D146/C146</f>
        <v>0.0737605804111245</v>
      </c>
      <c r="F146" s="5" t="n">
        <f aca="false">C146-C145</f>
        <v>205</v>
      </c>
    </row>
    <row r="147" customFormat="false" ht="15" hidden="false" customHeight="false" outlineLevel="0" collapsed="false">
      <c r="A147" s="4" t="s">
        <v>137</v>
      </c>
      <c r="B147" s="5" t="s">
        <v>291</v>
      </c>
      <c r="C147" s="5" t="n">
        <v>1499</v>
      </c>
      <c r="D147" s="5" t="n">
        <v>64</v>
      </c>
      <c r="E147" s="6" t="n">
        <f aca="false">D147/C147</f>
        <v>0.0426951300867245</v>
      </c>
      <c r="F147" s="5" t="n">
        <f aca="false">C147-C146</f>
        <v>-155</v>
      </c>
    </row>
    <row r="148" customFormat="false" ht="15" hidden="false" customHeight="false" outlineLevel="0" collapsed="false">
      <c r="A148" s="4" t="s">
        <v>137</v>
      </c>
      <c r="B148" s="5" t="s">
        <v>292</v>
      </c>
      <c r="C148" s="5" t="n">
        <v>1495</v>
      </c>
      <c r="D148" s="5" t="n">
        <v>116</v>
      </c>
      <c r="E148" s="6" t="n">
        <f aca="false">D148/C148</f>
        <v>0.0775919732441472</v>
      </c>
      <c r="F148" s="5" t="n">
        <f aca="false">C148-C147</f>
        <v>-4</v>
      </c>
    </row>
    <row r="149" customFormat="false" ht="15" hidden="false" customHeight="false" outlineLevel="0" collapsed="false">
      <c r="A149" s="4" t="s">
        <v>139</v>
      </c>
      <c r="B149" s="5" t="s">
        <v>288</v>
      </c>
      <c r="C149" s="5" t="n">
        <v>2092</v>
      </c>
      <c r="D149" s="5" t="n">
        <v>174</v>
      </c>
      <c r="E149" s="6" t="n">
        <f aca="false">D149/C149</f>
        <v>0.0831739961759082</v>
      </c>
      <c r="F149" s="5" t="s">
        <v>289</v>
      </c>
    </row>
    <row r="150" customFormat="false" ht="15" hidden="false" customHeight="false" outlineLevel="0" collapsed="false">
      <c r="A150" s="4" t="s">
        <v>139</v>
      </c>
      <c r="B150" s="5" t="s">
        <v>290</v>
      </c>
      <c r="C150" s="5" t="n">
        <v>2050</v>
      </c>
      <c r="D150" s="5" t="n">
        <v>179</v>
      </c>
      <c r="E150" s="6" t="n">
        <f aca="false">D150/C150</f>
        <v>0.0873170731707317</v>
      </c>
      <c r="F150" s="5" t="n">
        <f aca="false">C150-C149</f>
        <v>-42</v>
      </c>
    </row>
    <row r="151" customFormat="false" ht="15" hidden="false" customHeight="false" outlineLevel="0" collapsed="false">
      <c r="A151" s="4" t="s">
        <v>139</v>
      </c>
      <c r="B151" s="5" t="s">
        <v>291</v>
      </c>
      <c r="C151" s="5" t="n">
        <v>2440</v>
      </c>
      <c r="D151" s="5" t="n">
        <v>171</v>
      </c>
      <c r="E151" s="6" t="n">
        <f aca="false">D151/C151</f>
        <v>0.0700819672131148</v>
      </c>
      <c r="F151" s="5" t="n">
        <f aca="false">C151-C150</f>
        <v>390</v>
      </c>
    </row>
    <row r="152" customFormat="false" ht="15" hidden="false" customHeight="false" outlineLevel="0" collapsed="false">
      <c r="A152" s="4" t="s">
        <v>139</v>
      </c>
      <c r="B152" s="5" t="s">
        <v>292</v>
      </c>
      <c r="C152" s="5" t="n">
        <v>1813</v>
      </c>
      <c r="D152" s="5" t="n">
        <v>102</v>
      </c>
      <c r="E152" s="6" t="n">
        <f aca="false">D152/C152</f>
        <v>0.0562603419746277</v>
      </c>
      <c r="F152" s="5" t="n">
        <f aca="false">C152-C151</f>
        <v>-627</v>
      </c>
    </row>
    <row r="153" customFormat="false" ht="15" hidden="false" customHeight="false" outlineLevel="0" collapsed="false">
      <c r="A153" s="4" t="s">
        <v>141</v>
      </c>
      <c r="B153" s="5" t="s">
        <v>288</v>
      </c>
      <c r="C153" s="5" t="n">
        <v>876</v>
      </c>
      <c r="D153" s="5" t="n">
        <v>44</v>
      </c>
      <c r="E153" s="6" t="n">
        <f aca="false">D153/C153</f>
        <v>0.0502283105022831</v>
      </c>
      <c r="F153" s="5" t="s">
        <v>289</v>
      </c>
    </row>
    <row r="154" customFormat="false" ht="15" hidden="false" customHeight="false" outlineLevel="0" collapsed="false">
      <c r="A154" s="4" t="s">
        <v>141</v>
      </c>
      <c r="B154" s="5" t="s">
        <v>290</v>
      </c>
      <c r="C154" s="5" t="n">
        <v>713</v>
      </c>
      <c r="D154" s="5" t="n">
        <v>34</v>
      </c>
      <c r="E154" s="6" t="n">
        <f aca="false">D154/C154</f>
        <v>0.0476858345021038</v>
      </c>
      <c r="F154" s="5" t="n">
        <f aca="false">C154-C153</f>
        <v>-163</v>
      </c>
    </row>
    <row r="155" customFormat="false" ht="15" hidden="false" customHeight="false" outlineLevel="0" collapsed="false">
      <c r="A155" s="4" t="s">
        <v>141</v>
      </c>
      <c r="B155" s="5" t="s">
        <v>291</v>
      </c>
      <c r="C155" s="5" t="n">
        <v>632</v>
      </c>
      <c r="D155" s="5" t="n">
        <v>45</v>
      </c>
      <c r="E155" s="6" t="n">
        <f aca="false">D155/C155</f>
        <v>0.0712025316455696</v>
      </c>
      <c r="F155" s="5" t="n">
        <f aca="false">C155-C154</f>
        <v>-81</v>
      </c>
    </row>
    <row r="156" customFormat="false" ht="15" hidden="false" customHeight="false" outlineLevel="0" collapsed="false">
      <c r="A156" s="4" t="s">
        <v>141</v>
      </c>
      <c r="B156" s="5" t="s">
        <v>292</v>
      </c>
      <c r="C156" s="5" t="n">
        <v>818</v>
      </c>
      <c r="D156" s="5" t="n">
        <v>71</v>
      </c>
      <c r="E156" s="6" t="n">
        <f aca="false">D156/C156</f>
        <v>0.0867970660146699</v>
      </c>
      <c r="F156" s="5" t="n">
        <f aca="false">C156-C155</f>
        <v>186</v>
      </c>
    </row>
    <row r="157" customFormat="false" ht="15" hidden="false" customHeight="false" outlineLevel="0" collapsed="false">
      <c r="A157" s="4" t="s">
        <v>143</v>
      </c>
      <c r="B157" s="5" t="s">
        <v>288</v>
      </c>
      <c r="C157" s="5" t="n">
        <v>3166</v>
      </c>
      <c r="D157" s="5" t="n">
        <v>374</v>
      </c>
      <c r="E157" s="6" t="n">
        <f aca="false">D157/C157</f>
        <v>0.118130132659507</v>
      </c>
      <c r="F157" s="5" t="s">
        <v>289</v>
      </c>
    </row>
    <row r="158" customFormat="false" ht="15" hidden="false" customHeight="false" outlineLevel="0" collapsed="false">
      <c r="A158" s="4" t="s">
        <v>143</v>
      </c>
      <c r="B158" s="5" t="s">
        <v>290</v>
      </c>
      <c r="C158" s="5" t="n">
        <v>3640</v>
      </c>
      <c r="D158" s="5" t="n">
        <v>226</v>
      </c>
      <c r="E158" s="6" t="n">
        <f aca="false">D158/C158</f>
        <v>0.0620879120879121</v>
      </c>
      <c r="F158" s="5" t="n">
        <f aca="false">C158-C157</f>
        <v>474</v>
      </c>
    </row>
    <row r="159" customFormat="false" ht="15" hidden="false" customHeight="false" outlineLevel="0" collapsed="false">
      <c r="A159" s="4" t="s">
        <v>143</v>
      </c>
      <c r="B159" s="5" t="s">
        <v>291</v>
      </c>
      <c r="C159" s="5" t="n">
        <v>3520</v>
      </c>
      <c r="D159" s="5" t="n">
        <v>178</v>
      </c>
      <c r="E159" s="6" t="n">
        <f aca="false">D159/C159</f>
        <v>0.0505681818181818</v>
      </c>
      <c r="F159" s="5" t="n">
        <f aca="false">C159-C158</f>
        <v>-120</v>
      </c>
    </row>
    <row r="160" customFormat="false" ht="15" hidden="false" customHeight="false" outlineLevel="0" collapsed="false">
      <c r="A160" s="4" t="s">
        <v>143</v>
      </c>
      <c r="B160" s="5" t="s">
        <v>292</v>
      </c>
      <c r="C160" s="5" t="n">
        <v>3510</v>
      </c>
      <c r="D160" s="5" t="n">
        <v>376</v>
      </c>
      <c r="E160" s="6" t="n">
        <f aca="false">D160/C160</f>
        <v>0.107122507122507</v>
      </c>
      <c r="F160" s="5" t="n">
        <f aca="false">C160-C159</f>
        <v>-10</v>
      </c>
    </row>
    <row r="161" customFormat="false" ht="15" hidden="false" customHeight="false" outlineLevel="0" collapsed="false">
      <c r="A161" s="4" t="s">
        <v>145</v>
      </c>
      <c r="B161" s="5" t="s">
        <v>288</v>
      </c>
      <c r="C161" s="5" t="n">
        <v>2342</v>
      </c>
      <c r="D161" s="5" t="n">
        <v>225</v>
      </c>
      <c r="E161" s="6" t="n">
        <f aca="false">D161/C161</f>
        <v>0.0960717335610589</v>
      </c>
      <c r="F161" s="5" t="s">
        <v>289</v>
      </c>
    </row>
    <row r="162" customFormat="false" ht="15" hidden="false" customHeight="false" outlineLevel="0" collapsed="false">
      <c r="A162" s="4" t="s">
        <v>145</v>
      </c>
      <c r="B162" s="5" t="s">
        <v>290</v>
      </c>
      <c r="C162" s="5" t="n">
        <v>2850</v>
      </c>
      <c r="D162" s="5" t="n">
        <v>309</v>
      </c>
      <c r="E162" s="6" t="n">
        <f aca="false">D162/C162</f>
        <v>0.108421052631579</v>
      </c>
      <c r="F162" s="5" t="n">
        <f aca="false">C162-C161</f>
        <v>508</v>
      </c>
    </row>
    <row r="163" customFormat="false" ht="15" hidden="false" customHeight="false" outlineLevel="0" collapsed="false">
      <c r="A163" s="4" t="s">
        <v>145</v>
      </c>
      <c r="B163" s="5" t="s">
        <v>291</v>
      </c>
      <c r="C163" s="5" t="n">
        <v>2075</v>
      </c>
      <c r="D163" s="5" t="n">
        <v>167</v>
      </c>
      <c r="E163" s="6" t="n">
        <f aca="false">D163/C163</f>
        <v>0.0804819277108434</v>
      </c>
      <c r="F163" s="5" t="n">
        <f aca="false">C163-C162</f>
        <v>-775</v>
      </c>
    </row>
    <row r="164" customFormat="false" ht="15" hidden="false" customHeight="false" outlineLevel="0" collapsed="false">
      <c r="A164" s="4" t="s">
        <v>145</v>
      </c>
      <c r="B164" s="5" t="s">
        <v>292</v>
      </c>
      <c r="C164" s="5" t="n">
        <v>2316</v>
      </c>
      <c r="D164" s="5" t="n">
        <v>138</v>
      </c>
      <c r="E164" s="6" t="n">
        <f aca="false">D164/C164</f>
        <v>0.0595854922279793</v>
      </c>
      <c r="F164" s="5" t="n">
        <f aca="false">C164-C163</f>
        <v>241</v>
      </c>
    </row>
    <row r="165" customFormat="false" ht="15" hidden="false" customHeight="false" outlineLevel="0" collapsed="false">
      <c r="A165" s="4" t="s">
        <v>147</v>
      </c>
      <c r="B165" s="5" t="s">
        <v>288</v>
      </c>
      <c r="C165" s="5" t="n">
        <v>1706</v>
      </c>
      <c r="D165" s="5" t="n">
        <v>85</v>
      </c>
      <c r="E165" s="6" t="n">
        <f aca="false">D165/C165</f>
        <v>0.0498241500586166</v>
      </c>
      <c r="F165" s="5" t="s">
        <v>289</v>
      </c>
    </row>
    <row r="166" customFormat="false" ht="15" hidden="false" customHeight="false" outlineLevel="0" collapsed="false">
      <c r="A166" s="4" t="s">
        <v>147</v>
      </c>
      <c r="B166" s="5" t="s">
        <v>290</v>
      </c>
      <c r="C166" s="5" t="n">
        <v>1557</v>
      </c>
      <c r="D166" s="5" t="n">
        <v>154</v>
      </c>
      <c r="E166" s="6" t="n">
        <f aca="false">D166/C166</f>
        <v>0.0989081567116249</v>
      </c>
      <c r="F166" s="5" t="n">
        <f aca="false">C166-C165</f>
        <v>-149</v>
      </c>
    </row>
    <row r="167" customFormat="false" ht="15" hidden="false" customHeight="false" outlineLevel="0" collapsed="false">
      <c r="A167" s="4" t="s">
        <v>147</v>
      </c>
      <c r="B167" s="5" t="s">
        <v>291</v>
      </c>
      <c r="C167" s="5" t="n">
        <v>1415</v>
      </c>
      <c r="D167" s="5" t="n">
        <v>165</v>
      </c>
      <c r="E167" s="6" t="n">
        <f aca="false">D167/C167</f>
        <v>0.11660777385159</v>
      </c>
      <c r="F167" s="5" t="n">
        <f aca="false">C167-C166</f>
        <v>-142</v>
      </c>
    </row>
    <row r="168" customFormat="false" ht="15" hidden="false" customHeight="false" outlineLevel="0" collapsed="false">
      <c r="A168" s="4" t="s">
        <v>147</v>
      </c>
      <c r="B168" s="5" t="s">
        <v>292</v>
      </c>
      <c r="C168" s="5" t="n">
        <v>1372</v>
      </c>
      <c r="D168" s="5" t="n">
        <v>108</v>
      </c>
      <c r="E168" s="6" t="n">
        <f aca="false">D168/C168</f>
        <v>0.0787172011661808</v>
      </c>
      <c r="F168" s="5" t="n">
        <f aca="false">C168-C167</f>
        <v>-43</v>
      </c>
    </row>
    <row r="169" customFormat="false" ht="15" hidden="false" customHeight="false" outlineLevel="0" collapsed="false">
      <c r="A169" s="4" t="s">
        <v>149</v>
      </c>
      <c r="B169" s="5" t="s">
        <v>288</v>
      </c>
      <c r="C169" s="5" t="n">
        <v>920</v>
      </c>
      <c r="D169" s="5" t="n">
        <v>41</v>
      </c>
      <c r="E169" s="6" t="n">
        <f aca="false">D169/C169</f>
        <v>0.0445652173913044</v>
      </c>
      <c r="F169" s="5" t="s">
        <v>289</v>
      </c>
    </row>
    <row r="170" customFormat="false" ht="15" hidden="false" customHeight="false" outlineLevel="0" collapsed="false">
      <c r="A170" s="4" t="s">
        <v>149</v>
      </c>
      <c r="B170" s="5" t="s">
        <v>290</v>
      </c>
      <c r="C170" s="5" t="n">
        <v>1070</v>
      </c>
      <c r="D170" s="5" t="n">
        <v>63</v>
      </c>
      <c r="E170" s="6" t="n">
        <f aca="false">D170/C170</f>
        <v>0.0588785046728972</v>
      </c>
      <c r="F170" s="5" t="n">
        <f aca="false">C170-C169</f>
        <v>150</v>
      </c>
    </row>
    <row r="171" customFormat="false" ht="15" hidden="false" customHeight="false" outlineLevel="0" collapsed="false">
      <c r="A171" s="4" t="s">
        <v>149</v>
      </c>
      <c r="B171" s="5" t="s">
        <v>291</v>
      </c>
      <c r="C171" s="5" t="n">
        <v>931</v>
      </c>
      <c r="D171" s="5" t="n">
        <v>40</v>
      </c>
      <c r="E171" s="6" t="n">
        <f aca="false">D171/C171</f>
        <v>0.0429645542427497</v>
      </c>
      <c r="F171" s="5" t="n">
        <f aca="false">C171-C170</f>
        <v>-139</v>
      </c>
    </row>
    <row r="172" customFormat="false" ht="15" hidden="false" customHeight="false" outlineLevel="0" collapsed="false">
      <c r="A172" s="4" t="s">
        <v>149</v>
      </c>
      <c r="B172" s="5" t="s">
        <v>292</v>
      </c>
      <c r="C172" s="5" t="n">
        <v>911</v>
      </c>
      <c r="D172" s="5" t="n">
        <v>94</v>
      </c>
      <c r="E172" s="6" t="n">
        <f aca="false">D172/C172</f>
        <v>0.103183315038419</v>
      </c>
      <c r="F172" s="5" t="n">
        <f aca="false">C172-C171</f>
        <v>-20</v>
      </c>
    </row>
    <row r="173" customFormat="false" ht="15" hidden="false" customHeight="false" outlineLevel="0" collapsed="false">
      <c r="A173" s="4" t="s">
        <v>151</v>
      </c>
      <c r="B173" s="5" t="s">
        <v>288</v>
      </c>
      <c r="C173" s="5" t="n">
        <v>1922</v>
      </c>
      <c r="D173" s="5" t="n">
        <v>163</v>
      </c>
      <c r="E173" s="6" t="n">
        <f aca="false">D173/C173</f>
        <v>0.0848074921956296</v>
      </c>
      <c r="F173" s="5" t="s">
        <v>289</v>
      </c>
    </row>
    <row r="174" customFormat="false" ht="15" hidden="false" customHeight="false" outlineLevel="0" collapsed="false">
      <c r="A174" s="4" t="s">
        <v>151</v>
      </c>
      <c r="B174" s="5" t="s">
        <v>290</v>
      </c>
      <c r="C174" s="5" t="n">
        <v>1400</v>
      </c>
      <c r="D174" s="5" t="n">
        <v>128</v>
      </c>
      <c r="E174" s="6" t="n">
        <f aca="false">D174/C174</f>
        <v>0.0914285714285714</v>
      </c>
      <c r="F174" s="5" t="n">
        <f aca="false">C174-C173</f>
        <v>-522</v>
      </c>
    </row>
    <row r="175" customFormat="false" ht="15" hidden="false" customHeight="false" outlineLevel="0" collapsed="false">
      <c r="A175" s="4" t="s">
        <v>151</v>
      </c>
      <c r="B175" s="5" t="s">
        <v>291</v>
      </c>
      <c r="C175" s="5" t="n">
        <v>1967</v>
      </c>
      <c r="D175" s="5" t="n">
        <v>200</v>
      </c>
      <c r="E175" s="6" t="n">
        <f aca="false">D175/C175</f>
        <v>0.101677681748856</v>
      </c>
      <c r="F175" s="5" t="n">
        <f aca="false">C175-C174</f>
        <v>567</v>
      </c>
    </row>
    <row r="176" customFormat="false" ht="15" hidden="false" customHeight="false" outlineLevel="0" collapsed="false">
      <c r="A176" s="4" t="s">
        <v>151</v>
      </c>
      <c r="B176" s="5" t="s">
        <v>292</v>
      </c>
      <c r="C176" s="5" t="n">
        <v>1667</v>
      </c>
      <c r="D176" s="5" t="n">
        <v>72</v>
      </c>
      <c r="E176" s="6" t="n">
        <f aca="false">D176/C176</f>
        <v>0.0431913617276545</v>
      </c>
      <c r="F176" s="5" t="n">
        <f aca="false">C176-C175</f>
        <v>-300</v>
      </c>
    </row>
    <row r="177" customFormat="false" ht="15" hidden="false" customHeight="false" outlineLevel="0" collapsed="false">
      <c r="A177" s="4" t="s">
        <v>153</v>
      </c>
      <c r="B177" s="5" t="s">
        <v>288</v>
      </c>
      <c r="C177" s="5" t="n">
        <v>294</v>
      </c>
      <c r="D177" s="5" t="n">
        <v>16</v>
      </c>
      <c r="E177" s="6" t="n">
        <f aca="false">D177/C177</f>
        <v>0.054421768707483</v>
      </c>
      <c r="F177" s="5" t="s">
        <v>289</v>
      </c>
    </row>
    <row r="178" customFormat="false" ht="15" hidden="false" customHeight="false" outlineLevel="0" collapsed="false">
      <c r="A178" s="4" t="s">
        <v>153</v>
      </c>
      <c r="B178" s="5" t="s">
        <v>290</v>
      </c>
      <c r="C178" s="5" t="n">
        <v>399</v>
      </c>
      <c r="D178" s="5" t="n">
        <v>16</v>
      </c>
      <c r="E178" s="6" t="n">
        <f aca="false">D178/C178</f>
        <v>0.0401002506265664</v>
      </c>
      <c r="F178" s="5" t="n">
        <f aca="false">C178-C177</f>
        <v>105</v>
      </c>
    </row>
    <row r="179" customFormat="false" ht="15" hidden="false" customHeight="false" outlineLevel="0" collapsed="false">
      <c r="A179" s="4" t="s">
        <v>153</v>
      </c>
      <c r="B179" s="5" t="s">
        <v>291</v>
      </c>
      <c r="C179" s="5" t="n">
        <v>321</v>
      </c>
      <c r="D179" s="5" t="n">
        <v>26</v>
      </c>
      <c r="E179" s="6" t="n">
        <f aca="false">D179/C179</f>
        <v>0.0809968847352025</v>
      </c>
      <c r="F179" s="5" t="n">
        <f aca="false">C179-C178</f>
        <v>-78</v>
      </c>
    </row>
    <row r="180" customFormat="false" ht="15" hidden="false" customHeight="false" outlineLevel="0" collapsed="false">
      <c r="A180" s="4" t="s">
        <v>153</v>
      </c>
      <c r="B180" s="5" t="s">
        <v>292</v>
      </c>
      <c r="C180" s="5" t="n">
        <v>358</v>
      </c>
      <c r="D180" s="5" t="n">
        <v>32</v>
      </c>
      <c r="E180" s="6" t="n">
        <f aca="false">D180/C180</f>
        <v>0.0893854748603352</v>
      </c>
      <c r="F180" s="5" t="n">
        <f aca="false">C180-C179</f>
        <v>37</v>
      </c>
    </row>
    <row r="181" customFormat="false" ht="15" hidden="false" customHeight="false" outlineLevel="0" collapsed="false">
      <c r="A181" s="4" t="s">
        <v>155</v>
      </c>
      <c r="B181" s="5" t="s">
        <v>288</v>
      </c>
      <c r="C181" s="5" t="n">
        <v>2285</v>
      </c>
      <c r="D181" s="5" t="n">
        <v>224</v>
      </c>
      <c r="E181" s="6" t="n">
        <f aca="false">D181/C181</f>
        <v>0.0980306345733042</v>
      </c>
      <c r="F181" s="5" t="s">
        <v>289</v>
      </c>
    </row>
    <row r="182" customFormat="false" ht="15" hidden="false" customHeight="false" outlineLevel="0" collapsed="false">
      <c r="A182" s="4" t="s">
        <v>155</v>
      </c>
      <c r="B182" s="5" t="s">
        <v>290</v>
      </c>
      <c r="C182" s="5" t="n">
        <v>2975</v>
      </c>
      <c r="D182" s="5" t="n">
        <v>156</v>
      </c>
      <c r="E182" s="6" t="n">
        <f aca="false">D182/C182</f>
        <v>0.052436974789916</v>
      </c>
      <c r="F182" s="5" t="n">
        <f aca="false">C182-C181</f>
        <v>690</v>
      </c>
    </row>
    <row r="183" customFormat="false" ht="15" hidden="false" customHeight="false" outlineLevel="0" collapsed="false">
      <c r="A183" s="4" t="s">
        <v>155</v>
      </c>
      <c r="B183" s="5" t="s">
        <v>291</v>
      </c>
      <c r="C183" s="5" t="n">
        <v>3013</v>
      </c>
      <c r="D183" s="5" t="n">
        <v>164</v>
      </c>
      <c r="E183" s="6" t="n">
        <f aca="false">D183/C183</f>
        <v>0.054430799867242</v>
      </c>
      <c r="F183" s="5" t="n">
        <f aca="false">C183-C182</f>
        <v>38</v>
      </c>
    </row>
    <row r="184" customFormat="false" ht="15" hidden="false" customHeight="false" outlineLevel="0" collapsed="false">
      <c r="A184" s="4" t="s">
        <v>155</v>
      </c>
      <c r="B184" s="5" t="s">
        <v>292</v>
      </c>
      <c r="C184" s="5" t="n">
        <v>2425</v>
      </c>
      <c r="D184" s="5" t="n">
        <v>264</v>
      </c>
      <c r="E184" s="6" t="n">
        <f aca="false">D184/C184</f>
        <v>0.108865979381443</v>
      </c>
      <c r="F184" s="5" t="n">
        <f aca="false">C184-C183</f>
        <v>-588</v>
      </c>
    </row>
    <row r="185" customFormat="false" ht="15" hidden="false" customHeight="false" outlineLevel="0" collapsed="false">
      <c r="A185" s="4" t="s">
        <v>157</v>
      </c>
      <c r="B185" s="5" t="s">
        <v>288</v>
      </c>
      <c r="C185" s="5" t="n">
        <v>1187</v>
      </c>
      <c r="D185" s="5" t="n">
        <v>90</v>
      </c>
      <c r="E185" s="6" t="n">
        <f aca="false">D185/C185</f>
        <v>0.075821398483572</v>
      </c>
      <c r="F185" s="5" t="s">
        <v>289</v>
      </c>
    </row>
    <row r="186" customFormat="false" ht="15" hidden="false" customHeight="false" outlineLevel="0" collapsed="false">
      <c r="A186" s="4" t="s">
        <v>157</v>
      </c>
      <c r="B186" s="5" t="s">
        <v>290</v>
      </c>
      <c r="C186" s="5" t="n">
        <v>1198</v>
      </c>
      <c r="D186" s="5" t="n">
        <v>49</v>
      </c>
      <c r="E186" s="6" t="n">
        <f aca="false">D186/C186</f>
        <v>0.0409015025041736</v>
      </c>
      <c r="F186" s="5" t="n">
        <f aca="false">C186-C185</f>
        <v>11</v>
      </c>
    </row>
    <row r="187" customFormat="false" ht="15" hidden="false" customHeight="false" outlineLevel="0" collapsed="false">
      <c r="A187" s="4" t="s">
        <v>157</v>
      </c>
      <c r="B187" s="5" t="s">
        <v>291</v>
      </c>
      <c r="C187" s="5" t="n">
        <v>1197</v>
      </c>
      <c r="D187" s="5" t="n">
        <v>126</v>
      </c>
      <c r="E187" s="6" t="n">
        <f aca="false">D187/C187</f>
        <v>0.105263157894737</v>
      </c>
      <c r="F187" s="5" t="n">
        <f aca="false">C187-C186</f>
        <v>-1</v>
      </c>
    </row>
    <row r="188" customFormat="false" ht="15" hidden="false" customHeight="false" outlineLevel="0" collapsed="false">
      <c r="A188" s="4" t="s">
        <v>157</v>
      </c>
      <c r="B188" s="5" t="s">
        <v>292</v>
      </c>
      <c r="C188" s="5" t="n">
        <v>973</v>
      </c>
      <c r="D188" s="5" t="n">
        <v>87</v>
      </c>
      <c r="E188" s="6" t="n">
        <f aca="false">D188/C188</f>
        <v>0.0894141829393628</v>
      </c>
      <c r="F188" s="5" t="n">
        <f aca="false">C188-C187</f>
        <v>-224</v>
      </c>
    </row>
    <row r="189" customFormat="false" ht="15" hidden="false" customHeight="false" outlineLevel="0" collapsed="false">
      <c r="A189" s="4" t="s">
        <v>159</v>
      </c>
      <c r="B189" s="5" t="s">
        <v>288</v>
      </c>
      <c r="C189" s="5" t="n">
        <v>3152</v>
      </c>
      <c r="D189" s="5" t="n">
        <v>269</v>
      </c>
      <c r="E189" s="6" t="n">
        <f aca="false">D189/C189</f>
        <v>0.0853426395939086</v>
      </c>
      <c r="F189" s="5" t="s">
        <v>289</v>
      </c>
    </row>
    <row r="190" customFormat="false" ht="15" hidden="false" customHeight="false" outlineLevel="0" collapsed="false">
      <c r="A190" s="4" t="s">
        <v>159</v>
      </c>
      <c r="B190" s="5" t="s">
        <v>290</v>
      </c>
      <c r="C190" s="5" t="n">
        <v>3342</v>
      </c>
      <c r="D190" s="5" t="n">
        <v>384</v>
      </c>
      <c r="E190" s="6" t="n">
        <f aca="false">D190/C190</f>
        <v>0.114901256732496</v>
      </c>
      <c r="F190" s="5" t="n">
        <f aca="false">C190-C189</f>
        <v>190</v>
      </c>
    </row>
    <row r="191" customFormat="false" ht="15" hidden="false" customHeight="false" outlineLevel="0" collapsed="false">
      <c r="A191" s="4" t="s">
        <v>159</v>
      </c>
      <c r="B191" s="5" t="s">
        <v>291</v>
      </c>
      <c r="C191" s="5" t="n">
        <v>2931</v>
      </c>
      <c r="D191" s="5" t="n">
        <v>149</v>
      </c>
      <c r="E191" s="6" t="n">
        <f aca="false">D191/C191</f>
        <v>0.0508358921869669</v>
      </c>
      <c r="F191" s="5" t="n">
        <f aca="false">C191-C190</f>
        <v>-411</v>
      </c>
    </row>
    <row r="192" customFormat="false" ht="15" hidden="false" customHeight="false" outlineLevel="0" collapsed="false">
      <c r="A192" s="4" t="s">
        <v>159</v>
      </c>
      <c r="B192" s="5" t="s">
        <v>292</v>
      </c>
      <c r="C192" s="5" t="n">
        <v>3020</v>
      </c>
      <c r="D192" s="5" t="n">
        <v>289</v>
      </c>
      <c r="E192" s="6" t="n">
        <f aca="false">D192/C192</f>
        <v>0.0956953642384106</v>
      </c>
      <c r="F192" s="5" t="n">
        <f aca="false">C192-C191</f>
        <v>89</v>
      </c>
    </row>
    <row r="193" customFormat="false" ht="15" hidden="false" customHeight="false" outlineLevel="0" collapsed="false">
      <c r="A193" s="4" t="s">
        <v>161</v>
      </c>
      <c r="B193" s="5" t="s">
        <v>288</v>
      </c>
      <c r="C193" s="5" t="n">
        <v>1227</v>
      </c>
      <c r="D193" s="5" t="n">
        <v>139</v>
      </c>
      <c r="E193" s="6" t="n">
        <f aca="false">D193/C193</f>
        <v>0.113284433577832</v>
      </c>
      <c r="F193" s="5" t="s">
        <v>289</v>
      </c>
    </row>
    <row r="194" customFormat="false" ht="15" hidden="false" customHeight="false" outlineLevel="0" collapsed="false">
      <c r="A194" s="4" t="s">
        <v>161</v>
      </c>
      <c r="B194" s="5" t="s">
        <v>290</v>
      </c>
      <c r="C194" s="5" t="n">
        <v>1591</v>
      </c>
      <c r="D194" s="5" t="n">
        <v>136</v>
      </c>
      <c r="E194" s="6" t="n">
        <f aca="false">D194/C194</f>
        <v>0.0854808296668762</v>
      </c>
      <c r="F194" s="5" t="n">
        <f aca="false">C194-C193</f>
        <v>364</v>
      </c>
    </row>
    <row r="195" customFormat="false" ht="15" hidden="false" customHeight="false" outlineLevel="0" collapsed="false">
      <c r="A195" s="4" t="s">
        <v>161</v>
      </c>
      <c r="B195" s="5" t="s">
        <v>291</v>
      </c>
      <c r="C195" s="5" t="n">
        <v>1354</v>
      </c>
      <c r="D195" s="5" t="n">
        <v>145</v>
      </c>
      <c r="E195" s="6" t="n">
        <f aca="false">D195/C195</f>
        <v>0.107090103397341</v>
      </c>
      <c r="F195" s="5" t="n">
        <f aca="false">C195-C194</f>
        <v>-237</v>
      </c>
    </row>
    <row r="196" customFormat="false" ht="15" hidden="false" customHeight="false" outlineLevel="0" collapsed="false">
      <c r="A196" s="4" t="s">
        <v>161</v>
      </c>
      <c r="B196" s="5" t="s">
        <v>292</v>
      </c>
      <c r="C196" s="5" t="n">
        <v>1521</v>
      </c>
      <c r="D196" s="5" t="n">
        <v>177</v>
      </c>
      <c r="E196" s="6" t="n">
        <f aca="false">D196/C196</f>
        <v>0.116370808678501</v>
      </c>
      <c r="F196" s="5" t="n">
        <f aca="false">C196-C195</f>
        <v>167</v>
      </c>
    </row>
    <row r="197" customFormat="false" ht="15" hidden="false" customHeight="false" outlineLevel="0" collapsed="false">
      <c r="A197" s="4" t="s">
        <v>163</v>
      </c>
      <c r="B197" s="5" t="s">
        <v>288</v>
      </c>
      <c r="C197" s="5" t="n">
        <v>714</v>
      </c>
      <c r="D197" s="5" t="n">
        <v>57</v>
      </c>
      <c r="E197" s="6" t="n">
        <f aca="false">D197/C197</f>
        <v>0.0798319327731092</v>
      </c>
      <c r="F197" s="5" t="s">
        <v>289</v>
      </c>
    </row>
    <row r="198" customFormat="false" ht="15" hidden="false" customHeight="false" outlineLevel="0" collapsed="false">
      <c r="A198" s="4" t="s">
        <v>163</v>
      </c>
      <c r="B198" s="5" t="s">
        <v>290</v>
      </c>
      <c r="C198" s="5" t="n">
        <v>782</v>
      </c>
      <c r="D198" s="5" t="n">
        <v>36</v>
      </c>
      <c r="E198" s="6" t="n">
        <f aca="false">D198/C198</f>
        <v>0.0460358056265985</v>
      </c>
      <c r="F198" s="5" t="n">
        <f aca="false">C198-C197</f>
        <v>68</v>
      </c>
    </row>
    <row r="199" customFormat="false" ht="15" hidden="false" customHeight="false" outlineLevel="0" collapsed="false">
      <c r="A199" s="4" t="s">
        <v>163</v>
      </c>
      <c r="B199" s="5" t="s">
        <v>291</v>
      </c>
      <c r="C199" s="5" t="n">
        <v>854</v>
      </c>
      <c r="D199" s="5" t="n">
        <v>83</v>
      </c>
      <c r="E199" s="6" t="n">
        <f aca="false">D199/C199</f>
        <v>0.0971896955503513</v>
      </c>
      <c r="F199" s="5" t="n">
        <f aca="false">C199-C198</f>
        <v>72</v>
      </c>
    </row>
    <row r="200" customFormat="false" ht="15" hidden="false" customHeight="false" outlineLevel="0" collapsed="false">
      <c r="A200" s="4" t="s">
        <v>163</v>
      </c>
      <c r="B200" s="5" t="s">
        <v>292</v>
      </c>
      <c r="C200" s="5" t="n">
        <v>713</v>
      </c>
      <c r="D200" s="5" t="n">
        <v>63</v>
      </c>
      <c r="E200" s="6" t="n">
        <f aca="false">D200/C200</f>
        <v>0.08835904628331</v>
      </c>
      <c r="F200" s="5" t="n">
        <f aca="false">C200-C199</f>
        <v>-141</v>
      </c>
    </row>
    <row r="201" customFormat="false" ht="15" hidden="false" customHeight="false" outlineLevel="0" collapsed="false">
      <c r="A201" s="4" t="s">
        <v>165</v>
      </c>
      <c r="B201" s="5" t="s">
        <v>288</v>
      </c>
      <c r="C201" s="5" t="n">
        <v>2123</v>
      </c>
      <c r="D201" s="5" t="n">
        <v>179</v>
      </c>
      <c r="E201" s="6" t="n">
        <f aca="false">D201/C201</f>
        <v>0.0843146490814885</v>
      </c>
      <c r="F201" s="5" t="s">
        <v>289</v>
      </c>
    </row>
    <row r="202" customFormat="false" ht="15" hidden="false" customHeight="false" outlineLevel="0" collapsed="false">
      <c r="A202" s="4" t="s">
        <v>165</v>
      </c>
      <c r="B202" s="5" t="s">
        <v>290</v>
      </c>
      <c r="C202" s="5" t="n">
        <v>2372</v>
      </c>
      <c r="D202" s="5" t="n">
        <v>100</v>
      </c>
      <c r="E202" s="6" t="n">
        <f aca="false">D202/C202</f>
        <v>0.0421585160202361</v>
      </c>
      <c r="F202" s="5" t="n">
        <f aca="false">C202-C201</f>
        <v>249</v>
      </c>
    </row>
    <row r="203" customFormat="false" ht="15" hidden="false" customHeight="false" outlineLevel="0" collapsed="false">
      <c r="A203" s="4" t="s">
        <v>165</v>
      </c>
      <c r="B203" s="5" t="s">
        <v>291</v>
      </c>
      <c r="C203" s="5" t="n">
        <v>1926</v>
      </c>
      <c r="D203" s="5" t="n">
        <v>103</v>
      </c>
      <c r="E203" s="6" t="n">
        <f aca="false">D203/C203</f>
        <v>0.053478712357217</v>
      </c>
      <c r="F203" s="5" t="n">
        <f aca="false">C203-C202</f>
        <v>-446</v>
      </c>
    </row>
    <row r="204" customFormat="false" ht="15" hidden="false" customHeight="false" outlineLevel="0" collapsed="false">
      <c r="A204" s="4" t="s">
        <v>165</v>
      </c>
      <c r="B204" s="5" t="s">
        <v>292</v>
      </c>
      <c r="C204" s="5" t="n">
        <v>2290</v>
      </c>
      <c r="D204" s="5" t="n">
        <v>266</v>
      </c>
      <c r="E204" s="6" t="n">
        <f aca="false">D204/C204</f>
        <v>0.116157205240175</v>
      </c>
      <c r="F204" s="5" t="n">
        <f aca="false">C204-C203</f>
        <v>364</v>
      </c>
    </row>
    <row r="205" customFormat="false" ht="15" hidden="false" customHeight="false" outlineLevel="0" collapsed="false">
      <c r="A205" s="4" t="s">
        <v>167</v>
      </c>
      <c r="B205" s="5" t="s">
        <v>288</v>
      </c>
      <c r="C205" s="5" t="n">
        <v>2637</v>
      </c>
      <c r="D205" s="5" t="n">
        <v>139</v>
      </c>
      <c r="E205" s="6" t="n">
        <f aca="false">D205/C205</f>
        <v>0.0527114144861585</v>
      </c>
      <c r="F205" s="5" t="s">
        <v>289</v>
      </c>
    </row>
    <row r="206" customFormat="false" ht="15" hidden="false" customHeight="false" outlineLevel="0" collapsed="false">
      <c r="A206" s="4" t="s">
        <v>167</v>
      </c>
      <c r="B206" s="5" t="s">
        <v>290</v>
      </c>
      <c r="C206" s="5" t="n">
        <v>2656</v>
      </c>
      <c r="D206" s="5" t="n">
        <v>169</v>
      </c>
      <c r="E206" s="6" t="n">
        <f aca="false">D206/C206</f>
        <v>0.0636295180722892</v>
      </c>
      <c r="F206" s="5" t="n">
        <f aca="false">C206-C205</f>
        <v>19</v>
      </c>
    </row>
    <row r="207" customFormat="false" ht="15" hidden="false" customHeight="false" outlineLevel="0" collapsed="false">
      <c r="A207" s="4" t="s">
        <v>167</v>
      </c>
      <c r="B207" s="5" t="s">
        <v>291</v>
      </c>
      <c r="C207" s="5" t="n">
        <v>2155</v>
      </c>
      <c r="D207" s="5" t="n">
        <v>148</v>
      </c>
      <c r="E207" s="6" t="n">
        <f aca="false">D207/C207</f>
        <v>0.068677494199536</v>
      </c>
      <c r="F207" s="5" t="n">
        <f aca="false">C207-C206</f>
        <v>-501</v>
      </c>
    </row>
    <row r="208" customFormat="false" ht="15" hidden="false" customHeight="false" outlineLevel="0" collapsed="false">
      <c r="A208" s="4" t="s">
        <v>167</v>
      </c>
      <c r="B208" s="5" t="s">
        <v>292</v>
      </c>
      <c r="C208" s="5" t="n">
        <v>2006</v>
      </c>
      <c r="D208" s="5" t="n">
        <v>122</v>
      </c>
      <c r="E208" s="6" t="n">
        <f aca="false">D208/C208</f>
        <v>0.0608175473579262</v>
      </c>
      <c r="F208" s="5" t="n">
        <f aca="false">C208-C207</f>
        <v>-149</v>
      </c>
    </row>
    <row r="209" customFormat="false" ht="15" hidden="false" customHeight="false" outlineLevel="0" collapsed="false">
      <c r="A209" s="4" t="s">
        <v>169</v>
      </c>
      <c r="B209" s="5" t="s">
        <v>288</v>
      </c>
      <c r="C209" s="5" t="n">
        <v>1150</v>
      </c>
      <c r="D209" s="5" t="n">
        <v>46</v>
      </c>
      <c r="E209" s="6" t="n">
        <f aca="false">D209/C209</f>
        <v>0.04</v>
      </c>
      <c r="F209" s="5" t="s">
        <v>289</v>
      </c>
    </row>
    <row r="210" customFormat="false" ht="15" hidden="false" customHeight="false" outlineLevel="0" collapsed="false">
      <c r="A210" s="4" t="s">
        <v>169</v>
      </c>
      <c r="B210" s="5" t="s">
        <v>290</v>
      </c>
      <c r="C210" s="5" t="n">
        <v>1053</v>
      </c>
      <c r="D210" s="5" t="n">
        <v>81</v>
      </c>
      <c r="E210" s="6" t="n">
        <f aca="false">D210/C210</f>
        <v>0.0769230769230769</v>
      </c>
      <c r="F210" s="5" t="n">
        <f aca="false">C210-C209</f>
        <v>-97</v>
      </c>
    </row>
    <row r="211" customFormat="false" ht="15" hidden="false" customHeight="false" outlineLevel="0" collapsed="false">
      <c r="A211" s="4" t="s">
        <v>169</v>
      </c>
      <c r="B211" s="5" t="s">
        <v>291</v>
      </c>
      <c r="C211" s="5" t="n">
        <v>1131</v>
      </c>
      <c r="D211" s="5" t="n">
        <v>88</v>
      </c>
      <c r="E211" s="6" t="n">
        <f aca="false">D211/C211</f>
        <v>0.0778072502210433</v>
      </c>
      <c r="F211" s="5" t="n">
        <f aca="false">C211-C210</f>
        <v>78</v>
      </c>
    </row>
    <row r="212" customFormat="false" ht="15" hidden="false" customHeight="false" outlineLevel="0" collapsed="false">
      <c r="A212" s="4" t="s">
        <v>169</v>
      </c>
      <c r="B212" s="5" t="s">
        <v>292</v>
      </c>
      <c r="C212" s="5" t="n">
        <v>958</v>
      </c>
      <c r="D212" s="5" t="n">
        <v>86</v>
      </c>
      <c r="E212" s="6" t="n">
        <f aca="false">D212/C212</f>
        <v>0.0897703549060543</v>
      </c>
      <c r="F212" s="5" t="n">
        <f aca="false">C212-C211</f>
        <v>-173</v>
      </c>
    </row>
    <row r="213" customFormat="false" ht="15" hidden="false" customHeight="false" outlineLevel="0" collapsed="false">
      <c r="A213" s="4" t="s">
        <v>171</v>
      </c>
      <c r="B213" s="5" t="s">
        <v>288</v>
      </c>
      <c r="C213" s="5" t="n">
        <v>1056</v>
      </c>
      <c r="D213" s="5" t="n">
        <v>54</v>
      </c>
      <c r="E213" s="6" t="n">
        <f aca="false">D213/C213</f>
        <v>0.0511363636363636</v>
      </c>
      <c r="F213" s="5" t="s">
        <v>289</v>
      </c>
    </row>
    <row r="214" customFormat="false" ht="15" hidden="false" customHeight="false" outlineLevel="0" collapsed="false">
      <c r="A214" s="4" t="s">
        <v>171</v>
      </c>
      <c r="B214" s="5" t="s">
        <v>290</v>
      </c>
      <c r="C214" s="5" t="n">
        <v>1188</v>
      </c>
      <c r="D214" s="5" t="n">
        <v>95</v>
      </c>
      <c r="E214" s="6" t="n">
        <f aca="false">D214/C214</f>
        <v>0.07996632996633</v>
      </c>
      <c r="F214" s="5" t="n">
        <f aca="false">C214-C213</f>
        <v>132</v>
      </c>
    </row>
    <row r="215" customFormat="false" ht="15" hidden="false" customHeight="false" outlineLevel="0" collapsed="false">
      <c r="A215" s="4" t="s">
        <v>171</v>
      </c>
      <c r="B215" s="5" t="s">
        <v>291</v>
      </c>
      <c r="C215" s="5" t="n">
        <v>1159</v>
      </c>
      <c r="D215" s="5" t="n">
        <v>100</v>
      </c>
      <c r="E215" s="6" t="n">
        <f aca="false">D215/C215</f>
        <v>0.0862812769628991</v>
      </c>
      <c r="F215" s="5" t="n">
        <f aca="false">C215-C214</f>
        <v>-29</v>
      </c>
    </row>
    <row r="216" customFormat="false" ht="15" hidden="false" customHeight="false" outlineLevel="0" collapsed="false">
      <c r="A216" s="4" t="s">
        <v>171</v>
      </c>
      <c r="B216" s="5" t="s">
        <v>292</v>
      </c>
      <c r="C216" s="5" t="n">
        <v>1269</v>
      </c>
      <c r="D216" s="5" t="n">
        <v>98</v>
      </c>
      <c r="E216" s="6" t="n">
        <f aca="false">D216/C216</f>
        <v>0.0772261623325453</v>
      </c>
      <c r="F216" s="5" t="n">
        <f aca="false">C216-C215</f>
        <v>110</v>
      </c>
    </row>
    <row r="217" customFormat="false" ht="15" hidden="false" customHeight="false" outlineLevel="0" collapsed="false">
      <c r="A217" s="4" t="s">
        <v>173</v>
      </c>
      <c r="B217" s="5" t="s">
        <v>288</v>
      </c>
      <c r="C217" s="5" t="n">
        <v>2772</v>
      </c>
      <c r="D217" s="5" t="n">
        <v>286</v>
      </c>
      <c r="E217" s="6" t="n">
        <f aca="false">D217/C217</f>
        <v>0.103174603174603</v>
      </c>
      <c r="F217" s="5" t="s">
        <v>289</v>
      </c>
    </row>
    <row r="218" customFormat="false" ht="15" hidden="false" customHeight="false" outlineLevel="0" collapsed="false">
      <c r="A218" s="4" t="s">
        <v>173</v>
      </c>
      <c r="B218" s="5" t="s">
        <v>290</v>
      </c>
      <c r="C218" s="5" t="n">
        <v>2657</v>
      </c>
      <c r="D218" s="5" t="n">
        <v>176</v>
      </c>
      <c r="E218" s="6" t="n">
        <f aca="false">D218/C218</f>
        <v>0.0662401204365826</v>
      </c>
      <c r="F218" s="5" t="n">
        <f aca="false">C218-C217</f>
        <v>-115</v>
      </c>
    </row>
    <row r="219" customFormat="false" ht="15" hidden="false" customHeight="false" outlineLevel="0" collapsed="false">
      <c r="A219" s="4" t="s">
        <v>173</v>
      </c>
      <c r="B219" s="5" t="s">
        <v>291</v>
      </c>
      <c r="C219" s="5" t="n">
        <v>2687</v>
      </c>
      <c r="D219" s="5" t="n">
        <v>175</v>
      </c>
      <c r="E219" s="6" t="n">
        <f aca="false">D219/C219</f>
        <v>0.0651283959806476</v>
      </c>
      <c r="F219" s="5" t="n">
        <f aca="false">C219-C218</f>
        <v>30</v>
      </c>
    </row>
    <row r="220" customFormat="false" ht="15" hidden="false" customHeight="false" outlineLevel="0" collapsed="false">
      <c r="A220" s="4" t="s">
        <v>173</v>
      </c>
      <c r="B220" s="5" t="s">
        <v>292</v>
      </c>
      <c r="C220" s="5" t="n">
        <v>3301</v>
      </c>
      <c r="D220" s="5" t="n">
        <v>317</v>
      </c>
      <c r="E220" s="6" t="n">
        <f aca="false">D220/C220</f>
        <v>0.0960315056043623</v>
      </c>
      <c r="F220" s="5" t="n">
        <f aca="false">C220-C219</f>
        <v>614</v>
      </c>
    </row>
    <row r="221" customFormat="false" ht="15" hidden="false" customHeight="false" outlineLevel="0" collapsed="false">
      <c r="A221" s="4" t="s">
        <v>175</v>
      </c>
      <c r="B221" s="5" t="s">
        <v>288</v>
      </c>
      <c r="C221" s="5" t="n">
        <v>1469</v>
      </c>
      <c r="D221" s="5" t="n">
        <v>173</v>
      </c>
      <c r="E221" s="6" t="n">
        <f aca="false">D221/C221</f>
        <v>0.117767188563649</v>
      </c>
      <c r="F221" s="5" t="s">
        <v>289</v>
      </c>
    </row>
    <row r="222" customFormat="false" ht="15" hidden="false" customHeight="false" outlineLevel="0" collapsed="false">
      <c r="A222" s="4" t="s">
        <v>175</v>
      </c>
      <c r="B222" s="5" t="s">
        <v>290</v>
      </c>
      <c r="C222" s="5" t="n">
        <v>1940</v>
      </c>
      <c r="D222" s="5" t="n">
        <v>200</v>
      </c>
      <c r="E222" s="6" t="n">
        <f aca="false">D222/C222</f>
        <v>0.103092783505155</v>
      </c>
      <c r="F222" s="5" t="n">
        <f aca="false">C222-C221</f>
        <v>471</v>
      </c>
    </row>
    <row r="223" customFormat="false" ht="15" hidden="false" customHeight="false" outlineLevel="0" collapsed="false">
      <c r="A223" s="4" t="s">
        <v>175</v>
      </c>
      <c r="B223" s="5" t="s">
        <v>291</v>
      </c>
      <c r="C223" s="5" t="n">
        <v>1678</v>
      </c>
      <c r="D223" s="5" t="n">
        <v>197</v>
      </c>
      <c r="E223" s="6" t="n">
        <f aca="false">D223/C223</f>
        <v>0.117401668653159</v>
      </c>
      <c r="F223" s="5" t="n">
        <f aca="false">C223-C222</f>
        <v>-262</v>
      </c>
    </row>
    <row r="224" customFormat="false" ht="15" hidden="false" customHeight="false" outlineLevel="0" collapsed="false">
      <c r="A224" s="4" t="s">
        <v>175</v>
      </c>
      <c r="B224" s="5" t="s">
        <v>292</v>
      </c>
      <c r="C224" s="5" t="n">
        <v>1907</v>
      </c>
      <c r="D224" s="5" t="n">
        <v>222</v>
      </c>
      <c r="E224" s="6" t="n">
        <f aca="false">D224/C224</f>
        <v>0.116413214472994</v>
      </c>
      <c r="F224" s="5" t="n">
        <f aca="false">C224-C223</f>
        <v>229</v>
      </c>
    </row>
    <row r="225" customFormat="false" ht="15" hidden="false" customHeight="false" outlineLevel="0" collapsed="false">
      <c r="A225" s="4" t="s">
        <v>177</v>
      </c>
      <c r="B225" s="5" t="s">
        <v>288</v>
      </c>
      <c r="C225" s="5" t="n">
        <v>1786</v>
      </c>
      <c r="D225" s="5" t="n">
        <v>82</v>
      </c>
      <c r="E225" s="6" t="n">
        <f aca="false">D225/C225</f>
        <v>0.0459126539753639</v>
      </c>
      <c r="F225" s="5" t="s">
        <v>289</v>
      </c>
    </row>
    <row r="226" customFormat="false" ht="15" hidden="false" customHeight="false" outlineLevel="0" collapsed="false">
      <c r="A226" s="4" t="s">
        <v>177</v>
      </c>
      <c r="B226" s="5" t="s">
        <v>290</v>
      </c>
      <c r="C226" s="5" t="n">
        <v>1650</v>
      </c>
      <c r="D226" s="5" t="n">
        <v>73</v>
      </c>
      <c r="E226" s="6" t="n">
        <f aca="false">D226/C226</f>
        <v>0.0442424242424242</v>
      </c>
      <c r="F226" s="5" t="n">
        <f aca="false">C226-C225</f>
        <v>-136</v>
      </c>
    </row>
    <row r="227" customFormat="false" ht="15" hidden="false" customHeight="false" outlineLevel="0" collapsed="false">
      <c r="A227" s="4" t="s">
        <v>177</v>
      </c>
      <c r="B227" s="5" t="s">
        <v>291</v>
      </c>
      <c r="C227" s="5" t="n">
        <v>2107</v>
      </c>
      <c r="D227" s="5" t="n">
        <v>148</v>
      </c>
      <c r="E227" s="6" t="n">
        <f aca="false">D227/C227</f>
        <v>0.0702420503084955</v>
      </c>
      <c r="F227" s="5" t="n">
        <f aca="false">C227-C226</f>
        <v>457</v>
      </c>
    </row>
    <row r="228" customFormat="false" ht="15" hidden="false" customHeight="false" outlineLevel="0" collapsed="false">
      <c r="A228" s="4" t="s">
        <v>177</v>
      </c>
      <c r="B228" s="5" t="s">
        <v>292</v>
      </c>
      <c r="C228" s="5" t="n">
        <v>2186</v>
      </c>
      <c r="D228" s="5" t="n">
        <v>133</v>
      </c>
      <c r="E228" s="6" t="n">
        <f aca="false">D228/C228</f>
        <v>0.0608417200365965</v>
      </c>
      <c r="F228" s="5" t="n">
        <f aca="false">C228-C227</f>
        <v>79</v>
      </c>
    </row>
    <row r="229" customFormat="false" ht="15" hidden="false" customHeight="false" outlineLevel="0" collapsed="false">
      <c r="A229" s="4" t="s">
        <v>179</v>
      </c>
      <c r="B229" s="5" t="s">
        <v>288</v>
      </c>
      <c r="C229" s="5" t="n">
        <v>2077</v>
      </c>
      <c r="D229" s="5" t="n">
        <v>84</v>
      </c>
      <c r="E229" s="6" t="n">
        <f aca="false">D229/C229</f>
        <v>0.0404429465575349</v>
      </c>
      <c r="F229" s="5" t="s">
        <v>289</v>
      </c>
    </row>
    <row r="230" customFormat="false" ht="15" hidden="false" customHeight="false" outlineLevel="0" collapsed="false">
      <c r="A230" s="4" t="s">
        <v>179</v>
      </c>
      <c r="B230" s="5" t="s">
        <v>290</v>
      </c>
      <c r="C230" s="5" t="n">
        <v>1938</v>
      </c>
      <c r="D230" s="5" t="n">
        <v>163</v>
      </c>
      <c r="E230" s="6" t="n">
        <f aca="false">D230/C230</f>
        <v>0.0841073271413829</v>
      </c>
      <c r="F230" s="5" t="n">
        <f aca="false">C230-C229</f>
        <v>-139</v>
      </c>
    </row>
    <row r="231" customFormat="false" ht="15" hidden="false" customHeight="false" outlineLevel="0" collapsed="false">
      <c r="A231" s="4" t="s">
        <v>179</v>
      </c>
      <c r="B231" s="5" t="s">
        <v>291</v>
      </c>
      <c r="C231" s="5" t="n">
        <v>2341</v>
      </c>
      <c r="D231" s="5" t="n">
        <v>205</v>
      </c>
      <c r="E231" s="6" t="n">
        <f aca="false">D231/C231</f>
        <v>0.0875694147800085</v>
      </c>
      <c r="F231" s="5" t="n">
        <f aca="false">C231-C230</f>
        <v>403</v>
      </c>
    </row>
    <row r="232" customFormat="false" ht="15" hidden="false" customHeight="false" outlineLevel="0" collapsed="false">
      <c r="A232" s="4" t="s">
        <v>179</v>
      </c>
      <c r="B232" s="5" t="s">
        <v>292</v>
      </c>
      <c r="C232" s="5" t="n">
        <v>2347</v>
      </c>
      <c r="D232" s="5" t="n">
        <v>153</v>
      </c>
      <c r="E232" s="6" t="n">
        <f aca="false">D232/C232</f>
        <v>0.0651896037494674</v>
      </c>
      <c r="F232" s="5" t="n">
        <f aca="false">C232-C231</f>
        <v>6</v>
      </c>
    </row>
    <row r="233" customFormat="false" ht="15" hidden="false" customHeight="false" outlineLevel="0" collapsed="false">
      <c r="A233" s="4" t="s">
        <v>181</v>
      </c>
      <c r="B233" s="5" t="s">
        <v>288</v>
      </c>
      <c r="C233" s="5" t="n">
        <v>2460</v>
      </c>
      <c r="D233" s="5" t="n">
        <v>131</v>
      </c>
      <c r="E233" s="6" t="n">
        <f aca="false">D233/C233</f>
        <v>0.0532520325203252</v>
      </c>
      <c r="F233" s="5" t="s">
        <v>289</v>
      </c>
    </row>
    <row r="234" customFormat="false" ht="15" hidden="false" customHeight="false" outlineLevel="0" collapsed="false">
      <c r="A234" s="4" t="s">
        <v>181</v>
      </c>
      <c r="B234" s="5" t="s">
        <v>290</v>
      </c>
      <c r="C234" s="5" t="n">
        <v>2629</v>
      </c>
      <c r="D234" s="5" t="n">
        <v>206</v>
      </c>
      <c r="E234" s="6" t="n">
        <f aca="false">D234/C234</f>
        <v>0.0783567896538608</v>
      </c>
      <c r="F234" s="5" t="n">
        <f aca="false">C234-C233</f>
        <v>169</v>
      </c>
    </row>
    <row r="235" customFormat="false" ht="15" hidden="false" customHeight="false" outlineLevel="0" collapsed="false">
      <c r="A235" s="4" t="s">
        <v>181</v>
      </c>
      <c r="B235" s="5" t="s">
        <v>291</v>
      </c>
      <c r="C235" s="5" t="n">
        <v>2135</v>
      </c>
      <c r="D235" s="5" t="n">
        <v>229</v>
      </c>
      <c r="E235" s="6" t="n">
        <f aca="false">D235/C235</f>
        <v>0.107259953161593</v>
      </c>
      <c r="F235" s="5" t="n">
        <f aca="false">C235-C234</f>
        <v>-494</v>
      </c>
    </row>
    <row r="236" customFormat="false" ht="15" hidden="false" customHeight="false" outlineLevel="0" collapsed="false">
      <c r="A236" s="4" t="s">
        <v>181</v>
      </c>
      <c r="B236" s="5" t="s">
        <v>292</v>
      </c>
      <c r="C236" s="5" t="n">
        <v>2657</v>
      </c>
      <c r="D236" s="5" t="n">
        <v>317</v>
      </c>
      <c r="E236" s="6" t="n">
        <f aca="false">D236/C236</f>
        <v>0.119307489649981</v>
      </c>
      <c r="F236" s="5" t="n">
        <f aca="false">C236-C235</f>
        <v>522</v>
      </c>
    </row>
    <row r="237" customFormat="false" ht="15" hidden="false" customHeight="false" outlineLevel="0" collapsed="false">
      <c r="A237" s="4" t="s">
        <v>183</v>
      </c>
      <c r="B237" s="5" t="s">
        <v>288</v>
      </c>
      <c r="C237" s="5" t="n">
        <v>2640</v>
      </c>
      <c r="D237" s="5" t="n">
        <v>201</v>
      </c>
      <c r="E237" s="6" t="n">
        <f aca="false">D237/C237</f>
        <v>0.0761363636363636</v>
      </c>
      <c r="F237" s="5" t="s">
        <v>289</v>
      </c>
    </row>
    <row r="238" customFormat="false" ht="15" hidden="false" customHeight="false" outlineLevel="0" collapsed="false">
      <c r="A238" s="4" t="s">
        <v>183</v>
      </c>
      <c r="B238" s="5" t="s">
        <v>290</v>
      </c>
      <c r="C238" s="5" t="n">
        <v>2699</v>
      </c>
      <c r="D238" s="5" t="n">
        <v>236</v>
      </c>
      <c r="E238" s="6" t="n">
        <f aca="false">D238/C238</f>
        <v>0.0874397925157466</v>
      </c>
      <c r="F238" s="5" t="n">
        <f aca="false">C238-C237</f>
        <v>59</v>
      </c>
    </row>
    <row r="239" customFormat="false" ht="15" hidden="false" customHeight="false" outlineLevel="0" collapsed="false">
      <c r="A239" s="4" t="s">
        <v>183</v>
      </c>
      <c r="B239" s="5" t="s">
        <v>291</v>
      </c>
      <c r="C239" s="5" t="n">
        <v>2464</v>
      </c>
      <c r="D239" s="5" t="n">
        <v>186</v>
      </c>
      <c r="E239" s="6" t="n">
        <f aca="false">D239/C239</f>
        <v>0.075487012987013</v>
      </c>
      <c r="F239" s="5" t="n">
        <f aca="false">C239-C238</f>
        <v>-235</v>
      </c>
    </row>
    <row r="240" customFormat="false" ht="15" hidden="false" customHeight="false" outlineLevel="0" collapsed="false">
      <c r="A240" s="4" t="s">
        <v>183</v>
      </c>
      <c r="B240" s="5" t="s">
        <v>292</v>
      </c>
      <c r="C240" s="5" t="n">
        <v>2640</v>
      </c>
      <c r="D240" s="5" t="n">
        <v>126</v>
      </c>
      <c r="E240" s="6" t="n">
        <f aca="false">D240/C240</f>
        <v>0.0477272727272727</v>
      </c>
      <c r="F240" s="5" t="n">
        <f aca="false">C240-C239</f>
        <v>176</v>
      </c>
    </row>
    <row r="241" customFormat="false" ht="15" hidden="false" customHeight="false" outlineLevel="0" collapsed="false">
      <c r="A241" s="4" t="s">
        <v>185</v>
      </c>
      <c r="B241" s="5" t="s">
        <v>288</v>
      </c>
      <c r="C241" s="5" t="n">
        <v>2516</v>
      </c>
      <c r="D241" s="5" t="n">
        <v>285</v>
      </c>
      <c r="E241" s="6" t="n">
        <f aca="false">D241/C241</f>
        <v>0.113275039745628</v>
      </c>
      <c r="F241" s="5" t="s">
        <v>289</v>
      </c>
    </row>
    <row r="242" customFormat="false" ht="15" hidden="false" customHeight="false" outlineLevel="0" collapsed="false">
      <c r="A242" s="4" t="s">
        <v>185</v>
      </c>
      <c r="B242" s="5" t="s">
        <v>290</v>
      </c>
      <c r="C242" s="5" t="n">
        <v>3311</v>
      </c>
      <c r="D242" s="5" t="n">
        <v>183</v>
      </c>
      <c r="E242" s="6" t="n">
        <f aca="false">D242/C242</f>
        <v>0.0552703110842646</v>
      </c>
      <c r="F242" s="5" t="n">
        <f aca="false">C242-C241</f>
        <v>795</v>
      </c>
    </row>
    <row r="243" customFormat="false" ht="15" hidden="false" customHeight="false" outlineLevel="0" collapsed="false">
      <c r="A243" s="4" t="s">
        <v>185</v>
      </c>
      <c r="B243" s="5" t="s">
        <v>291</v>
      </c>
      <c r="C243" s="5" t="n">
        <v>2902</v>
      </c>
      <c r="D243" s="5" t="n">
        <v>118</v>
      </c>
      <c r="E243" s="6" t="n">
        <f aca="false">D243/C243</f>
        <v>0.0406616126809097</v>
      </c>
      <c r="F243" s="5" t="n">
        <f aca="false">C243-C242</f>
        <v>-409</v>
      </c>
    </row>
    <row r="244" customFormat="false" ht="15" hidden="false" customHeight="false" outlineLevel="0" collapsed="false">
      <c r="A244" s="4" t="s">
        <v>185</v>
      </c>
      <c r="B244" s="5" t="s">
        <v>292</v>
      </c>
      <c r="C244" s="5" t="n">
        <v>3014</v>
      </c>
      <c r="D244" s="5" t="n">
        <v>348</v>
      </c>
      <c r="E244" s="6" t="n">
        <f aca="false">D244/C244</f>
        <v>0.115461181154612</v>
      </c>
      <c r="F244" s="5" t="n">
        <f aca="false">C244-C243</f>
        <v>112</v>
      </c>
    </row>
    <row r="245" customFormat="false" ht="15" hidden="false" customHeight="false" outlineLevel="0" collapsed="false">
      <c r="A245" s="4" t="s">
        <v>187</v>
      </c>
      <c r="B245" s="5" t="s">
        <v>288</v>
      </c>
      <c r="C245" s="5" t="n">
        <v>3606</v>
      </c>
      <c r="D245" s="5" t="n">
        <v>354</v>
      </c>
      <c r="E245" s="6" t="n">
        <f aca="false">D245/C245</f>
        <v>0.0981697171381032</v>
      </c>
      <c r="F245" s="5" t="s">
        <v>289</v>
      </c>
    </row>
    <row r="246" customFormat="false" ht="15" hidden="false" customHeight="false" outlineLevel="0" collapsed="false">
      <c r="A246" s="4" t="s">
        <v>187</v>
      </c>
      <c r="B246" s="5" t="s">
        <v>290</v>
      </c>
      <c r="C246" s="5" t="n">
        <v>2711</v>
      </c>
      <c r="D246" s="5" t="n">
        <v>278</v>
      </c>
      <c r="E246" s="6" t="n">
        <f aca="false">D246/C246</f>
        <v>0.102545186278126</v>
      </c>
      <c r="F246" s="5" t="n">
        <f aca="false">C246-C245</f>
        <v>-895</v>
      </c>
    </row>
    <row r="247" customFormat="false" ht="15" hidden="false" customHeight="false" outlineLevel="0" collapsed="false">
      <c r="A247" s="4" t="s">
        <v>187</v>
      </c>
      <c r="B247" s="5" t="s">
        <v>291</v>
      </c>
      <c r="C247" s="5" t="n">
        <v>3740</v>
      </c>
      <c r="D247" s="5" t="n">
        <v>313</v>
      </c>
      <c r="E247" s="6" t="n">
        <f aca="false">D247/C247</f>
        <v>0.0836898395721925</v>
      </c>
      <c r="F247" s="5" t="n">
        <f aca="false">C247-C246</f>
        <v>1029</v>
      </c>
    </row>
    <row r="248" customFormat="false" ht="15" hidden="false" customHeight="false" outlineLevel="0" collapsed="false">
      <c r="A248" s="4" t="s">
        <v>187</v>
      </c>
      <c r="B248" s="5" t="s">
        <v>292</v>
      </c>
      <c r="C248" s="5" t="n">
        <v>3763</v>
      </c>
      <c r="D248" s="5" t="n">
        <v>430</v>
      </c>
      <c r="E248" s="6" t="n">
        <f aca="false">D248/C248</f>
        <v>0.114270528833378</v>
      </c>
      <c r="F248" s="5" t="n">
        <f aca="false">C248-C247</f>
        <v>23</v>
      </c>
    </row>
    <row r="249" customFormat="false" ht="15" hidden="false" customHeight="false" outlineLevel="0" collapsed="false">
      <c r="A249" s="4" t="s">
        <v>189</v>
      </c>
      <c r="B249" s="5" t="s">
        <v>288</v>
      </c>
      <c r="C249" s="5" t="n">
        <v>2623</v>
      </c>
      <c r="D249" s="5" t="n">
        <v>104</v>
      </c>
      <c r="E249" s="6" t="n">
        <f aca="false">D249/C249</f>
        <v>0.0396492565764392</v>
      </c>
      <c r="F249" s="5" t="s">
        <v>289</v>
      </c>
    </row>
    <row r="250" customFormat="false" ht="15" hidden="false" customHeight="false" outlineLevel="0" collapsed="false">
      <c r="A250" s="4" t="s">
        <v>189</v>
      </c>
      <c r="B250" s="5" t="s">
        <v>290</v>
      </c>
      <c r="C250" s="5" t="n">
        <v>1865</v>
      </c>
      <c r="D250" s="5" t="n">
        <v>185</v>
      </c>
      <c r="E250" s="6" t="n">
        <f aca="false">D250/C250</f>
        <v>0.0991957104557641</v>
      </c>
      <c r="F250" s="5" t="n">
        <f aca="false">C250-C249</f>
        <v>-758</v>
      </c>
    </row>
    <row r="251" customFormat="false" ht="15" hidden="false" customHeight="false" outlineLevel="0" collapsed="false">
      <c r="A251" s="4" t="s">
        <v>189</v>
      </c>
      <c r="B251" s="5" t="s">
        <v>291</v>
      </c>
      <c r="C251" s="5" t="n">
        <v>1871</v>
      </c>
      <c r="D251" s="5" t="n">
        <v>107</v>
      </c>
      <c r="E251" s="6" t="n">
        <f aca="false">D251/C251</f>
        <v>0.0571886691608765</v>
      </c>
      <c r="F251" s="5" t="n">
        <f aca="false">C251-C250</f>
        <v>6</v>
      </c>
    </row>
    <row r="252" customFormat="false" ht="15" hidden="false" customHeight="false" outlineLevel="0" collapsed="false">
      <c r="A252" s="4" t="s">
        <v>189</v>
      </c>
      <c r="B252" s="5" t="s">
        <v>292</v>
      </c>
      <c r="C252" s="5" t="n">
        <v>2428</v>
      </c>
      <c r="D252" s="5" t="n">
        <v>101</v>
      </c>
      <c r="E252" s="6" t="n">
        <f aca="false">D252/C252</f>
        <v>0.0415980230642504</v>
      </c>
      <c r="F252" s="5" t="n">
        <f aca="false">C252-C251</f>
        <v>557</v>
      </c>
    </row>
    <row r="253" customFormat="false" ht="15" hidden="false" customHeight="false" outlineLevel="0" collapsed="false">
      <c r="A253" s="4" t="s">
        <v>191</v>
      </c>
      <c r="B253" s="5" t="s">
        <v>288</v>
      </c>
      <c r="C253" s="5" t="n">
        <v>3707</v>
      </c>
      <c r="D253" s="5" t="n">
        <v>166</v>
      </c>
      <c r="E253" s="6" t="n">
        <f aca="false">D253/C253</f>
        <v>0.0447801456703534</v>
      </c>
      <c r="F253" s="5" t="s">
        <v>289</v>
      </c>
    </row>
    <row r="254" customFormat="false" ht="15" hidden="false" customHeight="false" outlineLevel="0" collapsed="false">
      <c r="A254" s="4" t="s">
        <v>191</v>
      </c>
      <c r="B254" s="5" t="s">
        <v>290</v>
      </c>
      <c r="C254" s="5" t="n">
        <v>2800</v>
      </c>
      <c r="D254" s="5" t="n">
        <v>156</v>
      </c>
      <c r="E254" s="6" t="n">
        <f aca="false">D254/C254</f>
        <v>0.0557142857142857</v>
      </c>
      <c r="F254" s="5" t="n">
        <f aca="false">C254-C253</f>
        <v>-907</v>
      </c>
    </row>
    <row r="255" customFormat="false" ht="15" hidden="false" customHeight="false" outlineLevel="0" collapsed="false">
      <c r="A255" s="4" t="s">
        <v>191</v>
      </c>
      <c r="B255" s="5" t="s">
        <v>291</v>
      </c>
      <c r="C255" s="5" t="n">
        <v>3004</v>
      </c>
      <c r="D255" s="5" t="n">
        <v>345</v>
      </c>
      <c r="E255" s="6" t="n">
        <f aca="false">D255/C255</f>
        <v>0.114846870838882</v>
      </c>
      <c r="F255" s="5" t="n">
        <f aca="false">C255-C254</f>
        <v>204</v>
      </c>
    </row>
    <row r="256" customFormat="false" ht="15" hidden="false" customHeight="false" outlineLevel="0" collapsed="false">
      <c r="A256" s="4" t="s">
        <v>191</v>
      </c>
      <c r="B256" s="5" t="s">
        <v>292</v>
      </c>
      <c r="C256" s="5" t="n">
        <v>4103</v>
      </c>
      <c r="D256" s="5" t="n">
        <v>234</v>
      </c>
      <c r="E256" s="6" t="n">
        <f aca="false">D256/C256</f>
        <v>0.0570314404094565</v>
      </c>
      <c r="F256" s="5" t="n">
        <f aca="false">C256-C255</f>
        <v>1099</v>
      </c>
    </row>
    <row r="257" customFormat="false" ht="15" hidden="false" customHeight="false" outlineLevel="0" collapsed="false">
      <c r="A257" s="4" t="s">
        <v>193</v>
      </c>
      <c r="B257" s="5" t="s">
        <v>288</v>
      </c>
      <c r="C257" s="5" t="n">
        <v>2251</v>
      </c>
      <c r="D257" s="5" t="n">
        <v>123</v>
      </c>
      <c r="E257" s="6" t="n">
        <f aca="false">D257/C257</f>
        <v>0.0546423811639271</v>
      </c>
      <c r="F257" s="5" t="s">
        <v>289</v>
      </c>
    </row>
    <row r="258" customFormat="false" ht="15" hidden="false" customHeight="false" outlineLevel="0" collapsed="false">
      <c r="A258" s="4" t="s">
        <v>193</v>
      </c>
      <c r="B258" s="5" t="s">
        <v>290</v>
      </c>
      <c r="C258" s="5" t="n">
        <v>1851</v>
      </c>
      <c r="D258" s="5" t="n">
        <v>126</v>
      </c>
      <c r="E258" s="6" t="n">
        <f aca="false">D258/C258</f>
        <v>0.0680713128038898</v>
      </c>
      <c r="F258" s="5" t="n">
        <f aca="false">C258-C257</f>
        <v>-400</v>
      </c>
    </row>
    <row r="259" customFormat="false" ht="15" hidden="false" customHeight="false" outlineLevel="0" collapsed="false">
      <c r="A259" s="4" t="s">
        <v>193</v>
      </c>
      <c r="B259" s="5" t="s">
        <v>291</v>
      </c>
      <c r="C259" s="5" t="n">
        <v>1935</v>
      </c>
      <c r="D259" s="5" t="n">
        <v>218</v>
      </c>
      <c r="E259" s="6" t="n">
        <f aca="false">D259/C259</f>
        <v>0.11266149870801</v>
      </c>
      <c r="F259" s="5" t="n">
        <f aca="false">C259-C258</f>
        <v>84</v>
      </c>
    </row>
    <row r="260" customFormat="false" ht="15" hidden="false" customHeight="false" outlineLevel="0" collapsed="false">
      <c r="A260" s="4" t="s">
        <v>193</v>
      </c>
      <c r="B260" s="5" t="s">
        <v>292</v>
      </c>
      <c r="C260" s="5" t="n">
        <v>1911</v>
      </c>
      <c r="D260" s="5" t="n">
        <v>121</v>
      </c>
      <c r="E260" s="6" t="n">
        <f aca="false">D260/C260</f>
        <v>0.0633176347462062</v>
      </c>
      <c r="F260" s="5" t="n">
        <f aca="false">C260-C259</f>
        <v>-24</v>
      </c>
    </row>
    <row r="261" customFormat="false" ht="15" hidden="false" customHeight="false" outlineLevel="0" collapsed="false">
      <c r="A261" s="4" t="s">
        <v>195</v>
      </c>
      <c r="B261" s="5" t="s">
        <v>288</v>
      </c>
      <c r="C261" s="5" t="n">
        <v>1049</v>
      </c>
      <c r="D261" s="5" t="n">
        <v>50</v>
      </c>
      <c r="E261" s="6" t="n">
        <f aca="false">D261/C261</f>
        <v>0.0476644423260248</v>
      </c>
      <c r="F261" s="5" t="s">
        <v>289</v>
      </c>
    </row>
    <row r="262" customFormat="false" ht="15" hidden="false" customHeight="false" outlineLevel="0" collapsed="false">
      <c r="A262" s="4" t="s">
        <v>195</v>
      </c>
      <c r="B262" s="5" t="s">
        <v>290</v>
      </c>
      <c r="C262" s="5" t="n">
        <v>1024</v>
      </c>
      <c r="D262" s="5" t="n">
        <v>44</v>
      </c>
      <c r="E262" s="6" t="n">
        <f aca="false">D262/C262</f>
        <v>0.04296875</v>
      </c>
      <c r="F262" s="5" t="n">
        <f aca="false">C262-C261</f>
        <v>-25</v>
      </c>
    </row>
    <row r="263" customFormat="false" ht="15" hidden="false" customHeight="false" outlineLevel="0" collapsed="false">
      <c r="A263" s="4" t="s">
        <v>195</v>
      </c>
      <c r="B263" s="5" t="s">
        <v>291</v>
      </c>
      <c r="C263" s="5" t="n">
        <v>1139</v>
      </c>
      <c r="D263" s="5" t="n">
        <v>125</v>
      </c>
      <c r="E263" s="6" t="n">
        <f aca="false">D263/C263</f>
        <v>0.109745390693591</v>
      </c>
      <c r="F263" s="5" t="n">
        <f aca="false">C263-C262</f>
        <v>115</v>
      </c>
    </row>
    <row r="264" customFormat="false" ht="15" hidden="false" customHeight="false" outlineLevel="0" collapsed="false">
      <c r="A264" s="4" t="s">
        <v>195</v>
      </c>
      <c r="B264" s="5" t="s">
        <v>292</v>
      </c>
      <c r="C264" s="5" t="n">
        <v>1110</v>
      </c>
      <c r="D264" s="5" t="n">
        <v>79</v>
      </c>
      <c r="E264" s="6" t="n">
        <f aca="false">D264/C264</f>
        <v>0.0711711711711712</v>
      </c>
      <c r="F264" s="5" t="n">
        <f aca="false">C264-C263</f>
        <v>-29</v>
      </c>
    </row>
    <row r="265" customFormat="false" ht="15" hidden="false" customHeight="false" outlineLevel="0" collapsed="false">
      <c r="A265" s="4" t="s">
        <v>197</v>
      </c>
      <c r="B265" s="5" t="s">
        <v>288</v>
      </c>
      <c r="C265" s="5" t="n">
        <v>1380</v>
      </c>
      <c r="D265" s="5" t="n">
        <v>140</v>
      </c>
      <c r="E265" s="6" t="n">
        <f aca="false">D265/C265</f>
        <v>0.101449275362319</v>
      </c>
      <c r="F265" s="5" t="s">
        <v>289</v>
      </c>
    </row>
    <row r="266" customFormat="false" ht="15" hidden="false" customHeight="false" outlineLevel="0" collapsed="false">
      <c r="A266" s="4" t="s">
        <v>197</v>
      </c>
      <c r="B266" s="5" t="s">
        <v>290</v>
      </c>
      <c r="C266" s="5" t="n">
        <v>1400</v>
      </c>
      <c r="D266" s="5" t="n">
        <v>94</v>
      </c>
      <c r="E266" s="6" t="n">
        <f aca="false">D266/C266</f>
        <v>0.0671428571428571</v>
      </c>
      <c r="F266" s="5" t="n">
        <f aca="false">C266-C265</f>
        <v>20</v>
      </c>
    </row>
    <row r="267" customFormat="false" ht="15" hidden="false" customHeight="false" outlineLevel="0" collapsed="false">
      <c r="A267" s="4" t="s">
        <v>197</v>
      </c>
      <c r="B267" s="5" t="s">
        <v>291</v>
      </c>
      <c r="C267" s="5" t="n">
        <v>1336</v>
      </c>
      <c r="D267" s="5" t="n">
        <v>103</v>
      </c>
      <c r="E267" s="6" t="n">
        <f aca="false">D267/C267</f>
        <v>0.0770958083832335</v>
      </c>
      <c r="F267" s="5" t="n">
        <f aca="false">C267-C266</f>
        <v>-64</v>
      </c>
    </row>
    <row r="268" customFormat="false" ht="15" hidden="false" customHeight="false" outlineLevel="0" collapsed="false">
      <c r="A268" s="4" t="s">
        <v>197</v>
      </c>
      <c r="B268" s="5" t="s">
        <v>292</v>
      </c>
      <c r="C268" s="5" t="n">
        <v>1309</v>
      </c>
      <c r="D268" s="5" t="n">
        <v>134</v>
      </c>
      <c r="E268" s="6" t="n">
        <f aca="false">D268/C268</f>
        <v>0.102368220015279</v>
      </c>
      <c r="F268" s="5" t="n">
        <f aca="false">C268-C267</f>
        <v>-27</v>
      </c>
    </row>
    <row r="269" customFormat="false" ht="15" hidden="false" customHeight="false" outlineLevel="0" collapsed="false">
      <c r="A269" s="4" t="s">
        <v>199</v>
      </c>
      <c r="B269" s="5" t="s">
        <v>288</v>
      </c>
      <c r="C269" s="5" t="n">
        <v>1751</v>
      </c>
      <c r="D269" s="5" t="n">
        <v>139</v>
      </c>
      <c r="E269" s="6" t="n">
        <f aca="false">D269/C269</f>
        <v>0.0793832095945174</v>
      </c>
      <c r="F269" s="5" t="s">
        <v>289</v>
      </c>
    </row>
    <row r="270" customFormat="false" ht="15" hidden="false" customHeight="false" outlineLevel="0" collapsed="false">
      <c r="A270" s="4" t="s">
        <v>199</v>
      </c>
      <c r="B270" s="5" t="s">
        <v>290</v>
      </c>
      <c r="C270" s="5" t="n">
        <v>1744</v>
      </c>
      <c r="D270" s="5" t="n">
        <v>105</v>
      </c>
      <c r="E270" s="6" t="n">
        <f aca="false">D270/C270</f>
        <v>0.0602064220183486</v>
      </c>
      <c r="F270" s="5" t="n">
        <f aca="false">C270-C269</f>
        <v>-7</v>
      </c>
    </row>
    <row r="271" customFormat="false" ht="15" hidden="false" customHeight="false" outlineLevel="0" collapsed="false">
      <c r="A271" s="4" t="s">
        <v>199</v>
      </c>
      <c r="B271" s="5" t="s">
        <v>291</v>
      </c>
      <c r="C271" s="5" t="n">
        <v>1840</v>
      </c>
      <c r="D271" s="5" t="n">
        <v>122</v>
      </c>
      <c r="E271" s="6" t="n">
        <f aca="false">D271/C271</f>
        <v>0.066304347826087</v>
      </c>
      <c r="F271" s="5" t="n">
        <f aca="false">C271-C270</f>
        <v>96</v>
      </c>
    </row>
    <row r="272" customFormat="false" ht="15" hidden="false" customHeight="false" outlineLevel="0" collapsed="false">
      <c r="A272" s="4" t="s">
        <v>199</v>
      </c>
      <c r="B272" s="5" t="s">
        <v>292</v>
      </c>
      <c r="C272" s="5" t="n">
        <v>2105</v>
      </c>
      <c r="D272" s="5" t="n">
        <v>88</v>
      </c>
      <c r="E272" s="6" t="n">
        <f aca="false">D272/C272</f>
        <v>0.0418052256532067</v>
      </c>
      <c r="F272" s="5" t="n">
        <f aca="false">C272-C271</f>
        <v>265</v>
      </c>
    </row>
    <row r="273" customFormat="false" ht="15" hidden="false" customHeight="false" outlineLevel="0" collapsed="false">
      <c r="A273" s="4" t="s">
        <v>201</v>
      </c>
      <c r="B273" s="5" t="s">
        <v>288</v>
      </c>
      <c r="C273" s="5" t="n">
        <v>427</v>
      </c>
      <c r="D273" s="5" t="n">
        <v>48</v>
      </c>
      <c r="E273" s="6" t="n">
        <f aca="false">D273/C273</f>
        <v>0.112412177985948</v>
      </c>
      <c r="F273" s="5" t="s">
        <v>289</v>
      </c>
    </row>
    <row r="274" customFormat="false" ht="15" hidden="false" customHeight="false" outlineLevel="0" collapsed="false">
      <c r="A274" s="4" t="s">
        <v>201</v>
      </c>
      <c r="B274" s="5" t="s">
        <v>290</v>
      </c>
      <c r="C274" s="5" t="n">
        <v>418</v>
      </c>
      <c r="D274" s="5" t="n">
        <v>47</v>
      </c>
      <c r="E274" s="6" t="n">
        <f aca="false">D274/C274</f>
        <v>0.11244019138756</v>
      </c>
      <c r="F274" s="5" t="n">
        <f aca="false">C274-C273</f>
        <v>-9</v>
      </c>
    </row>
    <row r="275" customFormat="false" ht="15" hidden="false" customHeight="false" outlineLevel="0" collapsed="false">
      <c r="A275" s="4" t="s">
        <v>201</v>
      </c>
      <c r="B275" s="5" t="s">
        <v>291</v>
      </c>
      <c r="C275" s="5" t="n">
        <v>477</v>
      </c>
      <c r="D275" s="5" t="n">
        <v>25</v>
      </c>
      <c r="E275" s="6" t="n">
        <f aca="false">D275/C275</f>
        <v>0.0524109014675052</v>
      </c>
      <c r="F275" s="5" t="n">
        <f aca="false">C275-C274</f>
        <v>59</v>
      </c>
    </row>
    <row r="276" customFormat="false" ht="15" hidden="false" customHeight="false" outlineLevel="0" collapsed="false">
      <c r="A276" s="4" t="s">
        <v>201</v>
      </c>
      <c r="B276" s="5" t="s">
        <v>292</v>
      </c>
      <c r="C276" s="5" t="n">
        <v>416</v>
      </c>
      <c r="D276" s="5" t="n">
        <v>36</v>
      </c>
      <c r="E276" s="6" t="n">
        <f aca="false">D276/C276</f>
        <v>0.0865384615384615</v>
      </c>
      <c r="F276" s="5" t="n">
        <f aca="false">C276-C275</f>
        <v>-61</v>
      </c>
    </row>
    <row r="277" customFormat="false" ht="15" hidden="false" customHeight="false" outlineLevel="0" collapsed="false">
      <c r="A277" s="4" t="s">
        <v>203</v>
      </c>
      <c r="B277" s="5" t="s">
        <v>288</v>
      </c>
      <c r="C277" s="5" t="n">
        <v>2281</v>
      </c>
      <c r="D277" s="5" t="n">
        <v>266</v>
      </c>
      <c r="E277" s="6" t="n">
        <f aca="false">D277/C277</f>
        <v>0.116615519508987</v>
      </c>
      <c r="F277" s="5" t="s">
        <v>289</v>
      </c>
    </row>
    <row r="278" customFormat="false" ht="15" hidden="false" customHeight="false" outlineLevel="0" collapsed="false">
      <c r="A278" s="4" t="s">
        <v>203</v>
      </c>
      <c r="B278" s="5" t="s">
        <v>290</v>
      </c>
      <c r="C278" s="5" t="n">
        <v>2489</v>
      </c>
      <c r="D278" s="5" t="n">
        <v>277</v>
      </c>
      <c r="E278" s="6" t="n">
        <f aca="false">D278/C278</f>
        <v>0.1112896745681</v>
      </c>
      <c r="F278" s="5" t="n">
        <f aca="false">C278-C277</f>
        <v>208</v>
      </c>
    </row>
    <row r="279" customFormat="false" ht="15" hidden="false" customHeight="false" outlineLevel="0" collapsed="false">
      <c r="A279" s="4" t="s">
        <v>203</v>
      </c>
      <c r="B279" s="5" t="s">
        <v>291</v>
      </c>
      <c r="C279" s="5" t="n">
        <v>2504</v>
      </c>
      <c r="D279" s="5" t="n">
        <v>153</v>
      </c>
      <c r="E279" s="6" t="n">
        <f aca="false">D279/C279</f>
        <v>0.0611022364217252</v>
      </c>
      <c r="F279" s="5" t="n">
        <f aca="false">C279-C278</f>
        <v>15</v>
      </c>
    </row>
    <row r="280" customFormat="false" ht="15" hidden="false" customHeight="false" outlineLevel="0" collapsed="false">
      <c r="A280" s="4" t="s">
        <v>203</v>
      </c>
      <c r="B280" s="5" t="s">
        <v>292</v>
      </c>
      <c r="C280" s="5" t="n">
        <v>1849</v>
      </c>
      <c r="D280" s="5" t="n">
        <v>196</v>
      </c>
      <c r="E280" s="6" t="n">
        <f aca="false">D280/C280</f>
        <v>0.106003244997296</v>
      </c>
      <c r="F280" s="5" t="n">
        <f aca="false">C280-C279</f>
        <v>-655</v>
      </c>
    </row>
    <row r="281" customFormat="false" ht="15" hidden="false" customHeight="false" outlineLevel="0" collapsed="false">
      <c r="A281" s="4" t="s">
        <v>205</v>
      </c>
      <c r="B281" s="5" t="s">
        <v>288</v>
      </c>
      <c r="C281" s="5" t="n">
        <v>2118</v>
      </c>
      <c r="D281" s="5" t="n">
        <v>226</v>
      </c>
      <c r="E281" s="6" t="n">
        <f aca="false">D281/C281</f>
        <v>0.106704438149197</v>
      </c>
      <c r="F281" s="5" t="s">
        <v>289</v>
      </c>
    </row>
    <row r="282" customFormat="false" ht="15" hidden="false" customHeight="false" outlineLevel="0" collapsed="false">
      <c r="A282" s="4" t="s">
        <v>205</v>
      </c>
      <c r="B282" s="5" t="s">
        <v>290</v>
      </c>
      <c r="C282" s="5" t="n">
        <v>2353</v>
      </c>
      <c r="D282" s="5" t="n">
        <v>108</v>
      </c>
      <c r="E282" s="6" t="n">
        <f aca="false">D282/C282</f>
        <v>0.0458988525286868</v>
      </c>
      <c r="F282" s="5" t="n">
        <f aca="false">C282-C281</f>
        <v>235</v>
      </c>
    </row>
    <row r="283" customFormat="false" ht="15" hidden="false" customHeight="false" outlineLevel="0" collapsed="false">
      <c r="A283" s="4" t="s">
        <v>205</v>
      </c>
      <c r="B283" s="5" t="s">
        <v>291</v>
      </c>
      <c r="C283" s="5" t="n">
        <v>2120</v>
      </c>
      <c r="D283" s="5" t="n">
        <v>97</v>
      </c>
      <c r="E283" s="6" t="n">
        <f aca="false">D283/C283</f>
        <v>0.0457547169811321</v>
      </c>
      <c r="F283" s="5" t="n">
        <f aca="false">C283-C282</f>
        <v>-233</v>
      </c>
    </row>
    <row r="284" customFormat="false" ht="15" hidden="false" customHeight="false" outlineLevel="0" collapsed="false">
      <c r="A284" s="4" t="s">
        <v>205</v>
      </c>
      <c r="B284" s="5" t="s">
        <v>292</v>
      </c>
      <c r="C284" s="5" t="n">
        <v>1654</v>
      </c>
      <c r="D284" s="5" t="n">
        <v>92</v>
      </c>
      <c r="E284" s="6" t="n">
        <f aca="false">D284/C284</f>
        <v>0.0556227327690447</v>
      </c>
      <c r="F284" s="5" t="n">
        <f aca="false">C284-C283</f>
        <v>-466</v>
      </c>
    </row>
    <row r="285" customFormat="false" ht="15" hidden="false" customHeight="false" outlineLevel="0" collapsed="false">
      <c r="A285" s="4" t="s">
        <v>207</v>
      </c>
      <c r="B285" s="5" t="s">
        <v>288</v>
      </c>
      <c r="C285" s="5" t="n">
        <v>773</v>
      </c>
      <c r="D285" s="5" t="n">
        <v>84</v>
      </c>
      <c r="E285" s="6" t="n">
        <f aca="false">D285/C285</f>
        <v>0.108667529107374</v>
      </c>
      <c r="F285" s="5" t="s">
        <v>289</v>
      </c>
    </row>
    <row r="286" customFormat="false" ht="15" hidden="false" customHeight="false" outlineLevel="0" collapsed="false">
      <c r="A286" s="4" t="s">
        <v>207</v>
      </c>
      <c r="B286" s="5" t="s">
        <v>290</v>
      </c>
      <c r="C286" s="5" t="n">
        <v>982</v>
      </c>
      <c r="D286" s="5" t="n">
        <v>106</v>
      </c>
      <c r="E286" s="6" t="n">
        <f aca="false">D286/C286</f>
        <v>0.107942973523422</v>
      </c>
      <c r="F286" s="5" t="n">
        <f aca="false">C286-C285</f>
        <v>209</v>
      </c>
    </row>
    <row r="287" customFormat="false" ht="15" hidden="false" customHeight="false" outlineLevel="0" collapsed="false">
      <c r="A287" s="4" t="s">
        <v>207</v>
      </c>
      <c r="B287" s="5" t="s">
        <v>291</v>
      </c>
      <c r="C287" s="5" t="n">
        <v>677</v>
      </c>
      <c r="D287" s="5" t="n">
        <v>34</v>
      </c>
      <c r="E287" s="6" t="n">
        <f aca="false">D287/C287</f>
        <v>0.0502215657311669</v>
      </c>
      <c r="F287" s="5" t="n">
        <f aca="false">C287-C286</f>
        <v>-305</v>
      </c>
    </row>
    <row r="288" customFormat="false" ht="15" hidden="false" customHeight="false" outlineLevel="0" collapsed="false">
      <c r="A288" s="4" t="s">
        <v>207</v>
      </c>
      <c r="B288" s="5" t="s">
        <v>292</v>
      </c>
      <c r="C288" s="5" t="n">
        <v>742</v>
      </c>
      <c r="D288" s="5" t="n">
        <v>63</v>
      </c>
      <c r="E288" s="6" t="n">
        <f aca="false">D288/C288</f>
        <v>0.0849056603773585</v>
      </c>
      <c r="F288" s="5" t="n">
        <f aca="false">C288-C287</f>
        <v>65</v>
      </c>
    </row>
    <row r="289" customFormat="false" ht="15" hidden="false" customHeight="false" outlineLevel="0" collapsed="false">
      <c r="A289" s="4" t="s">
        <v>209</v>
      </c>
      <c r="B289" s="5" t="s">
        <v>288</v>
      </c>
      <c r="C289" s="5" t="n">
        <v>783</v>
      </c>
      <c r="D289" s="5" t="n">
        <v>72</v>
      </c>
      <c r="E289" s="6" t="n">
        <f aca="false">D289/C289</f>
        <v>0.0919540229885058</v>
      </c>
      <c r="F289" s="5" t="s">
        <v>289</v>
      </c>
    </row>
    <row r="290" customFormat="false" ht="15" hidden="false" customHeight="false" outlineLevel="0" collapsed="false">
      <c r="A290" s="4" t="s">
        <v>209</v>
      </c>
      <c r="B290" s="5" t="s">
        <v>290</v>
      </c>
      <c r="C290" s="5" t="n">
        <v>1036</v>
      </c>
      <c r="D290" s="5" t="n">
        <v>67</v>
      </c>
      <c r="E290" s="6" t="n">
        <f aca="false">D290/C290</f>
        <v>0.0646718146718147</v>
      </c>
      <c r="F290" s="5" t="n">
        <f aca="false">C290-C289</f>
        <v>253</v>
      </c>
    </row>
    <row r="291" customFormat="false" ht="15" hidden="false" customHeight="false" outlineLevel="0" collapsed="false">
      <c r="A291" s="4" t="s">
        <v>209</v>
      </c>
      <c r="B291" s="5" t="s">
        <v>291</v>
      </c>
      <c r="C291" s="5" t="n">
        <v>858</v>
      </c>
      <c r="D291" s="5" t="n">
        <v>68</v>
      </c>
      <c r="E291" s="6" t="n">
        <f aca="false">D291/C291</f>
        <v>0.0792540792540793</v>
      </c>
      <c r="F291" s="5" t="n">
        <f aca="false">C291-C290</f>
        <v>-178</v>
      </c>
    </row>
    <row r="292" customFormat="false" ht="15" hidden="false" customHeight="false" outlineLevel="0" collapsed="false">
      <c r="A292" s="4" t="s">
        <v>209</v>
      </c>
      <c r="B292" s="5" t="s">
        <v>292</v>
      </c>
      <c r="C292" s="5" t="n">
        <v>1008</v>
      </c>
      <c r="D292" s="5" t="n">
        <v>53</v>
      </c>
      <c r="E292" s="6" t="n">
        <f aca="false">D292/C292</f>
        <v>0.0525793650793651</v>
      </c>
      <c r="F292" s="5" t="n">
        <f aca="false">C292-C291</f>
        <v>150</v>
      </c>
    </row>
    <row r="293" customFormat="false" ht="15" hidden="false" customHeight="false" outlineLevel="0" collapsed="false">
      <c r="A293" s="4" t="s">
        <v>211</v>
      </c>
      <c r="B293" s="5" t="s">
        <v>288</v>
      </c>
      <c r="C293" s="5" t="n">
        <v>707</v>
      </c>
      <c r="D293" s="5" t="n">
        <v>72</v>
      </c>
      <c r="E293" s="6" t="n">
        <f aca="false">D293/C293</f>
        <v>0.101838755304102</v>
      </c>
      <c r="F293" s="5" t="s">
        <v>289</v>
      </c>
    </row>
    <row r="294" customFormat="false" ht="15" hidden="false" customHeight="false" outlineLevel="0" collapsed="false">
      <c r="A294" s="4" t="s">
        <v>211</v>
      </c>
      <c r="B294" s="5" t="s">
        <v>290</v>
      </c>
      <c r="C294" s="5" t="n">
        <v>697</v>
      </c>
      <c r="D294" s="5" t="n">
        <v>64</v>
      </c>
      <c r="E294" s="6" t="n">
        <f aca="false">D294/C294</f>
        <v>0.0918220946915352</v>
      </c>
      <c r="F294" s="5" t="n">
        <f aca="false">C294-C293</f>
        <v>-10</v>
      </c>
    </row>
    <row r="295" customFormat="false" ht="15" hidden="false" customHeight="false" outlineLevel="0" collapsed="false">
      <c r="A295" s="4" t="s">
        <v>211</v>
      </c>
      <c r="B295" s="5" t="s">
        <v>291</v>
      </c>
      <c r="C295" s="5" t="n">
        <v>562</v>
      </c>
      <c r="D295" s="5" t="n">
        <v>36</v>
      </c>
      <c r="E295" s="6" t="n">
        <f aca="false">D295/C295</f>
        <v>0.0640569395017794</v>
      </c>
      <c r="F295" s="5" t="n">
        <f aca="false">C295-C294</f>
        <v>-135</v>
      </c>
    </row>
    <row r="296" customFormat="false" ht="15" hidden="false" customHeight="false" outlineLevel="0" collapsed="false">
      <c r="A296" s="4" t="s">
        <v>211</v>
      </c>
      <c r="B296" s="5" t="s">
        <v>292</v>
      </c>
      <c r="C296" s="5" t="n">
        <v>614</v>
      </c>
      <c r="D296" s="5" t="n">
        <v>31</v>
      </c>
      <c r="E296" s="6" t="n">
        <f aca="false">D296/C296</f>
        <v>0.0504885993485342</v>
      </c>
      <c r="F296" s="5" t="n">
        <f aca="false">C296-C295</f>
        <v>52</v>
      </c>
    </row>
    <row r="297" customFormat="false" ht="15" hidden="false" customHeight="false" outlineLevel="0" collapsed="false">
      <c r="A297" s="4" t="s">
        <v>213</v>
      </c>
      <c r="B297" s="5" t="s">
        <v>288</v>
      </c>
      <c r="C297" s="5" t="n">
        <v>1477</v>
      </c>
      <c r="D297" s="5" t="n">
        <v>135</v>
      </c>
      <c r="E297" s="6" t="n">
        <f aca="false">D297/C297</f>
        <v>0.0914014895057549</v>
      </c>
      <c r="F297" s="5" t="s">
        <v>289</v>
      </c>
    </row>
    <row r="298" customFormat="false" ht="15" hidden="false" customHeight="false" outlineLevel="0" collapsed="false">
      <c r="A298" s="4" t="s">
        <v>213</v>
      </c>
      <c r="B298" s="5" t="s">
        <v>290</v>
      </c>
      <c r="C298" s="5" t="n">
        <v>1782</v>
      </c>
      <c r="D298" s="5" t="n">
        <v>106</v>
      </c>
      <c r="E298" s="6" t="n">
        <f aca="false">D298/C298</f>
        <v>0.0594837261503928</v>
      </c>
      <c r="F298" s="5" t="n">
        <f aca="false">C298-C297</f>
        <v>305</v>
      </c>
    </row>
    <row r="299" customFormat="false" ht="15" hidden="false" customHeight="false" outlineLevel="0" collapsed="false">
      <c r="A299" s="4" t="s">
        <v>213</v>
      </c>
      <c r="B299" s="5" t="s">
        <v>291</v>
      </c>
      <c r="C299" s="5" t="n">
        <v>2022</v>
      </c>
      <c r="D299" s="5" t="n">
        <v>90</v>
      </c>
      <c r="E299" s="6" t="n">
        <f aca="false">D299/C299</f>
        <v>0.0445103857566766</v>
      </c>
      <c r="F299" s="5" t="n">
        <f aca="false">C299-C298</f>
        <v>240</v>
      </c>
    </row>
    <row r="300" customFormat="false" ht="15" hidden="false" customHeight="false" outlineLevel="0" collapsed="false">
      <c r="A300" s="4" t="s">
        <v>213</v>
      </c>
      <c r="B300" s="5" t="s">
        <v>292</v>
      </c>
      <c r="C300" s="5" t="n">
        <v>1557</v>
      </c>
      <c r="D300" s="5" t="n">
        <v>178</v>
      </c>
      <c r="E300" s="6" t="n">
        <f aca="false">D300/C300</f>
        <v>0.11432241490045</v>
      </c>
      <c r="F300" s="5" t="n">
        <f aca="false">C300-C299</f>
        <v>-465</v>
      </c>
    </row>
    <row r="301" customFormat="false" ht="15" hidden="false" customHeight="false" outlineLevel="0" collapsed="false">
      <c r="A301" s="4" t="s">
        <v>215</v>
      </c>
      <c r="B301" s="5" t="s">
        <v>288</v>
      </c>
      <c r="C301" s="5" t="n">
        <v>2871</v>
      </c>
      <c r="D301" s="5" t="n">
        <v>134</v>
      </c>
      <c r="E301" s="6" t="n">
        <f aca="false">D301/C301</f>
        <v>0.0466736328805294</v>
      </c>
      <c r="F301" s="5" t="s">
        <v>289</v>
      </c>
    </row>
    <row r="302" customFormat="false" ht="15" hidden="false" customHeight="false" outlineLevel="0" collapsed="false">
      <c r="A302" s="4" t="s">
        <v>215</v>
      </c>
      <c r="B302" s="5" t="s">
        <v>290</v>
      </c>
      <c r="C302" s="5" t="n">
        <v>2601</v>
      </c>
      <c r="D302" s="5" t="n">
        <v>104</v>
      </c>
      <c r="E302" s="6" t="n">
        <f aca="false">D302/C302</f>
        <v>0.0399846212995002</v>
      </c>
      <c r="F302" s="5" t="n">
        <f aca="false">C302-C301</f>
        <v>-270</v>
      </c>
    </row>
    <row r="303" customFormat="false" ht="15" hidden="false" customHeight="false" outlineLevel="0" collapsed="false">
      <c r="A303" s="4" t="s">
        <v>215</v>
      </c>
      <c r="B303" s="5" t="s">
        <v>291</v>
      </c>
      <c r="C303" s="5" t="n">
        <v>2634</v>
      </c>
      <c r="D303" s="5" t="n">
        <v>145</v>
      </c>
      <c r="E303" s="6" t="n">
        <f aca="false">D303/C303</f>
        <v>0.0550493545937737</v>
      </c>
      <c r="F303" s="5" t="n">
        <f aca="false">C303-C302</f>
        <v>33</v>
      </c>
    </row>
    <row r="304" customFormat="false" ht="15" hidden="false" customHeight="false" outlineLevel="0" collapsed="false">
      <c r="A304" s="4" t="s">
        <v>215</v>
      </c>
      <c r="B304" s="5" t="s">
        <v>292</v>
      </c>
      <c r="C304" s="5" t="n">
        <v>2530</v>
      </c>
      <c r="D304" s="5" t="n">
        <v>174</v>
      </c>
      <c r="E304" s="6" t="n">
        <f aca="false">D304/C304</f>
        <v>0.0687747035573123</v>
      </c>
      <c r="F304" s="5" t="n">
        <f aca="false">C304-C303</f>
        <v>-104</v>
      </c>
    </row>
    <row r="305" customFormat="false" ht="15" hidden="false" customHeight="false" outlineLevel="0" collapsed="false">
      <c r="A305" s="4" t="s">
        <v>217</v>
      </c>
      <c r="B305" s="5" t="s">
        <v>288</v>
      </c>
      <c r="C305" s="5" t="n">
        <v>3198</v>
      </c>
      <c r="D305" s="5" t="n">
        <v>342</v>
      </c>
      <c r="E305" s="6" t="n">
        <f aca="false">D305/C305</f>
        <v>0.106941838649156</v>
      </c>
      <c r="F305" s="5" t="s">
        <v>289</v>
      </c>
    </row>
    <row r="306" customFormat="false" ht="15" hidden="false" customHeight="false" outlineLevel="0" collapsed="false">
      <c r="A306" s="4" t="s">
        <v>217</v>
      </c>
      <c r="B306" s="5" t="s">
        <v>290</v>
      </c>
      <c r="C306" s="5" t="n">
        <v>3069</v>
      </c>
      <c r="D306" s="5" t="n">
        <v>179</v>
      </c>
      <c r="E306" s="6" t="n">
        <f aca="false">D306/C306</f>
        <v>0.0583251873574454</v>
      </c>
      <c r="F306" s="5" t="n">
        <f aca="false">C306-C305</f>
        <v>-129</v>
      </c>
    </row>
    <row r="307" customFormat="false" ht="15" hidden="false" customHeight="false" outlineLevel="0" collapsed="false">
      <c r="A307" s="4" t="s">
        <v>217</v>
      </c>
      <c r="B307" s="5" t="s">
        <v>291</v>
      </c>
      <c r="C307" s="5" t="n">
        <v>3127</v>
      </c>
      <c r="D307" s="5" t="n">
        <v>328</v>
      </c>
      <c r="E307" s="6" t="n">
        <f aca="false">D307/C307</f>
        <v>0.104892868564119</v>
      </c>
      <c r="F307" s="5" t="n">
        <f aca="false">C307-C306</f>
        <v>58</v>
      </c>
    </row>
    <row r="308" customFormat="false" ht="15" hidden="false" customHeight="false" outlineLevel="0" collapsed="false">
      <c r="A308" s="4" t="s">
        <v>217</v>
      </c>
      <c r="B308" s="5" t="s">
        <v>292</v>
      </c>
      <c r="C308" s="5" t="n">
        <v>2619</v>
      </c>
      <c r="D308" s="5" t="n">
        <v>191</v>
      </c>
      <c r="E308" s="6" t="n">
        <f aca="false">D308/C308</f>
        <v>0.0729285987017946</v>
      </c>
      <c r="F308" s="5" t="n">
        <f aca="false">C308-C307</f>
        <v>-508</v>
      </c>
    </row>
    <row r="309" customFormat="false" ht="15" hidden="false" customHeight="false" outlineLevel="0" collapsed="false">
      <c r="A309" s="4" t="s">
        <v>219</v>
      </c>
      <c r="B309" s="5" t="s">
        <v>288</v>
      </c>
      <c r="C309" s="5" t="n">
        <v>513</v>
      </c>
      <c r="D309" s="5" t="n">
        <v>28</v>
      </c>
      <c r="E309" s="6" t="n">
        <f aca="false">D309/C309</f>
        <v>0.0545808966861598</v>
      </c>
      <c r="F309" s="5" t="s">
        <v>289</v>
      </c>
    </row>
    <row r="310" customFormat="false" ht="15" hidden="false" customHeight="false" outlineLevel="0" collapsed="false">
      <c r="A310" s="4" t="s">
        <v>219</v>
      </c>
      <c r="B310" s="5" t="s">
        <v>290</v>
      </c>
      <c r="C310" s="5" t="n">
        <v>527</v>
      </c>
      <c r="D310" s="5" t="n">
        <v>58</v>
      </c>
      <c r="E310" s="6" t="n">
        <f aca="false">D310/C310</f>
        <v>0.110056925996205</v>
      </c>
      <c r="F310" s="5" t="n">
        <f aca="false">C310-C309</f>
        <v>14</v>
      </c>
    </row>
    <row r="311" customFormat="false" ht="15" hidden="false" customHeight="false" outlineLevel="0" collapsed="false">
      <c r="A311" s="4" t="s">
        <v>219</v>
      </c>
      <c r="B311" s="5" t="s">
        <v>291</v>
      </c>
      <c r="C311" s="5" t="n">
        <v>408</v>
      </c>
      <c r="D311" s="5" t="n">
        <v>17</v>
      </c>
      <c r="E311" s="6" t="n">
        <f aca="false">D311/C311</f>
        <v>0.0416666666666667</v>
      </c>
      <c r="F311" s="5" t="n">
        <f aca="false">C311-C310</f>
        <v>-119</v>
      </c>
    </row>
    <row r="312" customFormat="false" ht="15" hidden="false" customHeight="false" outlineLevel="0" collapsed="false">
      <c r="A312" s="4" t="s">
        <v>219</v>
      </c>
      <c r="B312" s="5" t="s">
        <v>292</v>
      </c>
      <c r="C312" s="5" t="n">
        <v>397</v>
      </c>
      <c r="D312" s="5" t="n">
        <v>26</v>
      </c>
      <c r="E312" s="6" t="n">
        <f aca="false">D312/C312</f>
        <v>0.0654911838790932</v>
      </c>
      <c r="F312" s="5" t="n">
        <f aca="false">C312-C311</f>
        <v>-11</v>
      </c>
    </row>
    <row r="313" customFormat="false" ht="15" hidden="false" customHeight="false" outlineLevel="0" collapsed="false">
      <c r="A313" s="4" t="s">
        <v>221</v>
      </c>
      <c r="B313" s="5" t="s">
        <v>288</v>
      </c>
      <c r="C313" s="5" t="n">
        <v>3371</v>
      </c>
      <c r="D313" s="5" t="n">
        <v>333</v>
      </c>
      <c r="E313" s="6" t="n">
        <f aca="false">D313/C313</f>
        <v>0.0987837436962326</v>
      </c>
      <c r="F313" s="5" t="s">
        <v>289</v>
      </c>
    </row>
    <row r="314" customFormat="false" ht="15" hidden="false" customHeight="false" outlineLevel="0" collapsed="false">
      <c r="A314" s="4" t="s">
        <v>221</v>
      </c>
      <c r="B314" s="5" t="s">
        <v>290</v>
      </c>
      <c r="C314" s="5" t="n">
        <v>2870</v>
      </c>
      <c r="D314" s="5" t="n">
        <v>276</v>
      </c>
      <c r="E314" s="6" t="n">
        <f aca="false">D314/C314</f>
        <v>0.0961672473867596</v>
      </c>
      <c r="F314" s="5" t="n">
        <f aca="false">C314-C313</f>
        <v>-501</v>
      </c>
    </row>
    <row r="315" customFormat="false" ht="15" hidden="false" customHeight="false" outlineLevel="0" collapsed="false">
      <c r="A315" s="4" t="s">
        <v>221</v>
      </c>
      <c r="B315" s="5" t="s">
        <v>291</v>
      </c>
      <c r="C315" s="5" t="n">
        <v>2784</v>
      </c>
      <c r="D315" s="5" t="n">
        <v>118</v>
      </c>
      <c r="E315" s="6" t="n">
        <f aca="false">D315/C315</f>
        <v>0.0423850574712644</v>
      </c>
      <c r="F315" s="5" t="n">
        <f aca="false">C315-C314</f>
        <v>-86</v>
      </c>
    </row>
    <row r="316" customFormat="false" ht="15" hidden="false" customHeight="false" outlineLevel="0" collapsed="false">
      <c r="A316" s="4" t="s">
        <v>221</v>
      </c>
      <c r="B316" s="5" t="s">
        <v>292</v>
      </c>
      <c r="C316" s="5" t="n">
        <v>3003</v>
      </c>
      <c r="D316" s="5" t="n">
        <v>327</v>
      </c>
      <c r="E316" s="6" t="n">
        <f aca="false">D316/C316</f>
        <v>0.108891108891109</v>
      </c>
      <c r="F316" s="5" t="n">
        <f aca="false">C316-C315</f>
        <v>219</v>
      </c>
    </row>
    <row r="317" customFormat="false" ht="15" hidden="false" customHeight="false" outlineLevel="0" collapsed="false">
      <c r="A317" s="4" t="s">
        <v>223</v>
      </c>
      <c r="B317" s="5" t="s">
        <v>288</v>
      </c>
      <c r="C317" s="5" t="n">
        <v>2476</v>
      </c>
      <c r="D317" s="5" t="n">
        <v>113</v>
      </c>
      <c r="E317" s="6" t="n">
        <f aca="false">D317/C317</f>
        <v>0.0456381260096931</v>
      </c>
      <c r="F317" s="5" t="s">
        <v>289</v>
      </c>
    </row>
    <row r="318" customFormat="false" ht="15" hidden="false" customHeight="false" outlineLevel="0" collapsed="false">
      <c r="A318" s="4" t="s">
        <v>223</v>
      </c>
      <c r="B318" s="5" t="s">
        <v>290</v>
      </c>
      <c r="C318" s="5" t="n">
        <v>2204</v>
      </c>
      <c r="D318" s="5" t="n">
        <v>132</v>
      </c>
      <c r="E318" s="6" t="n">
        <f aca="false">D318/C318</f>
        <v>0.0598911070780399</v>
      </c>
      <c r="F318" s="5" t="n">
        <f aca="false">C318-C317</f>
        <v>-272</v>
      </c>
    </row>
    <row r="319" customFormat="false" ht="15" hidden="false" customHeight="false" outlineLevel="0" collapsed="false">
      <c r="A319" s="4" t="s">
        <v>223</v>
      </c>
      <c r="B319" s="5" t="s">
        <v>291</v>
      </c>
      <c r="C319" s="5" t="n">
        <v>2157</v>
      </c>
      <c r="D319" s="5" t="n">
        <v>98</v>
      </c>
      <c r="E319" s="6" t="n">
        <f aca="false">D319/C319</f>
        <v>0.0454334724153917</v>
      </c>
      <c r="F319" s="5" t="n">
        <f aca="false">C319-C318</f>
        <v>-47</v>
      </c>
    </row>
    <row r="320" customFormat="false" ht="15" hidden="false" customHeight="false" outlineLevel="0" collapsed="false">
      <c r="A320" s="4" t="s">
        <v>223</v>
      </c>
      <c r="B320" s="5" t="s">
        <v>292</v>
      </c>
      <c r="C320" s="5" t="n">
        <v>2051</v>
      </c>
      <c r="D320" s="5" t="n">
        <v>223</v>
      </c>
      <c r="E320" s="6" t="n">
        <f aca="false">D320/C320</f>
        <v>0.108727450024378</v>
      </c>
      <c r="F320" s="5" t="n">
        <f aca="false">C320-C319</f>
        <v>-106</v>
      </c>
    </row>
    <row r="321" customFormat="false" ht="15" hidden="false" customHeight="false" outlineLevel="0" collapsed="false">
      <c r="A321" s="4" t="s">
        <v>225</v>
      </c>
      <c r="B321" s="5" t="s">
        <v>288</v>
      </c>
      <c r="C321" s="5" t="n">
        <v>1521</v>
      </c>
      <c r="D321" s="5" t="n">
        <v>167</v>
      </c>
      <c r="E321" s="6" t="n">
        <f aca="false">D321/C321</f>
        <v>0.109796186719264</v>
      </c>
      <c r="F321" s="5" t="s">
        <v>289</v>
      </c>
    </row>
    <row r="322" customFormat="false" ht="15" hidden="false" customHeight="false" outlineLevel="0" collapsed="false">
      <c r="A322" s="4" t="s">
        <v>225</v>
      </c>
      <c r="B322" s="5" t="s">
        <v>290</v>
      </c>
      <c r="C322" s="5" t="n">
        <v>1589</v>
      </c>
      <c r="D322" s="5" t="n">
        <v>111</v>
      </c>
      <c r="E322" s="6" t="n">
        <f aca="false">D322/C322</f>
        <v>0.0698552548772813</v>
      </c>
      <c r="F322" s="5" t="n">
        <f aca="false">C322-C321</f>
        <v>68</v>
      </c>
    </row>
    <row r="323" customFormat="false" ht="15" hidden="false" customHeight="false" outlineLevel="0" collapsed="false">
      <c r="A323" s="4" t="s">
        <v>225</v>
      </c>
      <c r="B323" s="5" t="s">
        <v>291</v>
      </c>
      <c r="C323" s="5" t="n">
        <v>1639</v>
      </c>
      <c r="D323" s="5" t="n">
        <v>144</v>
      </c>
      <c r="E323" s="6" t="n">
        <f aca="false">D323/C323</f>
        <v>0.0878584502745577</v>
      </c>
      <c r="F323" s="5" t="n">
        <f aca="false">C323-C322</f>
        <v>50</v>
      </c>
    </row>
    <row r="324" customFormat="false" ht="15" hidden="false" customHeight="false" outlineLevel="0" collapsed="false">
      <c r="A324" s="4" t="s">
        <v>225</v>
      </c>
      <c r="B324" s="5" t="s">
        <v>292</v>
      </c>
      <c r="C324" s="5" t="n">
        <v>1627</v>
      </c>
      <c r="D324" s="5" t="n">
        <v>126</v>
      </c>
      <c r="E324" s="6" t="n">
        <f aca="false">D324/C324</f>
        <v>0.0774431468961278</v>
      </c>
      <c r="F324" s="5" t="n">
        <f aca="false">C324-C323</f>
        <v>-12</v>
      </c>
    </row>
    <row r="325" customFormat="false" ht="15" hidden="false" customHeight="false" outlineLevel="0" collapsed="false">
      <c r="A325" s="4" t="s">
        <v>227</v>
      </c>
      <c r="B325" s="5" t="s">
        <v>288</v>
      </c>
      <c r="C325" s="5" t="n">
        <v>2947</v>
      </c>
      <c r="D325" s="5" t="n">
        <v>193</v>
      </c>
      <c r="E325" s="6" t="n">
        <f aca="false">D325/C325</f>
        <v>0.0654903291482864</v>
      </c>
      <c r="F325" s="5" t="s">
        <v>289</v>
      </c>
    </row>
    <row r="326" customFormat="false" ht="15" hidden="false" customHeight="false" outlineLevel="0" collapsed="false">
      <c r="A326" s="4" t="s">
        <v>227</v>
      </c>
      <c r="B326" s="5" t="s">
        <v>290</v>
      </c>
      <c r="C326" s="5" t="n">
        <v>2435</v>
      </c>
      <c r="D326" s="5" t="n">
        <v>131</v>
      </c>
      <c r="E326" s="6" t="n">
        <f aca="false">D326/C326</f>
        <v>0.0537987679671458</v>
      </c>
      <c r="F326" s="5" t="n">
        <f aca="false">C326-C325</f>
        <v>-512</v>
      </c>
    </row>
    <row r="327" customFormat="false" ht="15" hidden="false" customHeight="false" outlineLevel="0" collapsed="false">
      <c r="A327" s="4" t="s">
        <v>227</v>
      </c>
      <c r="B327" s="5" t="s">
        <v>291</v>
      </c>
      <c r="C327" s="5" t="n">
        <v>2711</v>
      </c>
      <c r="D327" s="5" t="n">
        <v>286</v>
      </c>
      <c r="E327" s="6" t="n">
        <f aca="false">D327/C327</f>
        <v>0.105496126890446</v>
      </c>
      <c r="F327" s="5" t="n">
        <f aca="false">C327-C326</f>
        <v>276</v>
      </c>
    </row>
    <row r="328" customFormat="false" ht="15" hidden="false" customHeight="false" outlineLevel="0" collapsed="false">
      <c r="A328" s="4" t="s">
        <v>227</v>
      </c>
      <c r="B328" s="5" t="s">
        <v>292</v>
      </c>
      <c r="C328" s="5" t="n">
        <v>3048</v>
      </c>
      <c r="D328" s="5" t="n">
        <v>277</v>
      </c>
      <c r="E328" s="6" t="n">
        <f aca="false">D328/C328</f>
        <v>0.0908792650918635</v>
      </c>
      <c r="F328" s="5" t="n">
        <f aca="false">C328-C327</f>
        <v>337</v>
      </c>
    </row>
    <row r="329" customFormat="false" ht="15" hidden="false" customHeight="false" outlineLevel="0" collapsed="false">
      <c r="A329" s="4" t="s">
        <v>229</v>
      </c>
      <c r="B329" s="5" t="s">
        <v>288</v>
      </c>
      <c r="C329" s="5" t="n">
        <v>2601</v>
      </c>
      <c r="D329" s="5" t="n">
        <v>113</v>
      </c>
      <c r="E329" s="6" t="n">
        <f aca="false">D329/C329</f>
        <v>0.0434448289119569</v>
      </c>
      <c r="F329" s="5" t="s">
        <v>289</v>
      </c>
    </row>
    <row r="330" customFormat="false" ht="15" hidden="false" customHeight="false" outlineLevel="0" collapsed="false">
      <c r="A330" s="4" t="s">
        <v>229</v>
      </c>
      <c r="B330" s="5" t="s">
        <v>290</v>
      </c>
      <c r="C330" s="5" t="n">
        <v>2484</v>
      </c>
      <c r="D330" s="5" t="n">
        <v>248</v>
      </c>
      <c r="E330" s="6" t="n">
        <f aca="false">D330/C330</f>
        <v>0.0998389694041868</v>
      </c>
      <c r="F330" s="5" t="n">
        <f aca="false">C330-C329</f>
        <v>-117</v>
      </c>
    </row>
    <row r="331" customFormat="false" ht="15" hidden="false" customHeight="false" outlineLevel="0" collapsed="false">
      <c r="A331" s="4" t="s">
        <v>229</v>
      </c>
      <c r="B331" s="5" t="s">
        <v>291</v>
      </c>
      <c r="C331" s="5" t="n">
        <v>2176</v>
      </c>
      <c r="D331" s="5" t="n">
        <v>168</v>
      </c>
      <c r="E331" s="6" t="n">
        <f aca="false">D331/C331</f>
        <v>0.0772058823529412</v>
      </c>
      <c r="F331" s="5" t="n">
        <f aca="false">C331-C330</f>
        <v>-308</v>
      </c>
    </row>
    <row r="332" customFormat="false" ht="15" hidden="false" customHeight="false" outlineLevel="0" collapsed="false">
      <c r="A332" s="4" t="s">
        <v>229</v>
      </c>
      <c r="B332" s="5" t="s">
        <v>292</v>
      </c>
      <c r="C332" s="5" t="n">
        <v>2209</v>
      </c>
      <c r="D332" s="5" t="n">
        <v>186</v>
      </c>
      <c r="E332" s="6" t="n">
        <f aca="false">D332/C332</f>
        <v>0.0842009959257583</v>
      </c>
      <c r="F332" s="5" t="n">
        <f aca="false">C332-C331</f>
        <v>33</v>
      </c>
    </row>
    <row r="333" customFormat="false" ht="15" hidden="false" customHeight="false" outlineLevel="0" collapsed="false">
      <c r="A333" s="4" t="s">
        <v>231</v>
      </c>
      <c r="B333" s="5" t="s">
        <v>288</v>
      </c>
      <c r="C333" s="5" t="n">
        <v>877</v>
      </c>
      <c r="D333" s="5" t="n">
        <v>43</v>
      </c>
      <c r="E333" s="6" t="n">
        <f aca="false">D333/C333</f>
        <v>0.0490307867730901</v>
      </c>
      <c r="F333" s="5" t="s">
        <v>289</v>
      </c>
    </row>
    <row r="334" customFormat="false" ht="15" hidden="false" customHeight="false" outlineLevel="0" collapsed="false">
      <c r="A334" s="4" t="s">
        <v>231</v>
      </c>
      <c r="B334" s="5" t="s">
        <v>290</v>
      </c>
      <c r="C334" s="5" t="n">
        <v>691</v>
      </c>
      <c r="D334" s="5" t="n">
        <v>72</v>
      </c>
      <c r="E334" s="6" t="n">
        <f aca="false">D334/C334</f>
        <v>0.104196816208394</v>
      </c>
      <c r="F334" s="5" t="n">
        <f aca="false">C334-C333</f>
        <v>-186</v>
      </c>
    </row>
    <row r="335" customFormat="false" ht="15" hidden="false" customHeight="false" outlineLevel="0" collapsed="false">
      <c r="A335" s="4" t="s">
        <v>231</v>
      </c>
      <c r="B335" s="5" t="s">
        <v>291</v>
      </c>
      <c r="C335" s="5" t="n">
        <v>892</v>
      </c>
      <c r="D335" s="5" t="n">
        <v>48</v>
      </c>
      <c r="E335" s="6" t="n">
        <f aca="false">D335/C335</f>
        <v>0.0538116591928251</v>
      </c>
      <c r="F335" s="5" t="n">
        <f aca="false">C335-C334</f>
        <v>201</v>
      </c>
    </row>
    <row r="336" customFormat="false" ht="15" hidden="false" customHeight="false" outlineLevel="0" collapsed="false">
      <c r="A336" s="4" t="s">
        <v>231</v>
      </c>
      <c r="B336" s="5" t="s">
        <v>292</v>
      </c>
      <c r="C336" s="5" t="n">
        <v>680</v>
      </c>
      <c r="D336" s="5" t="n">
        <v>61</v>
      </c>
      <c r="E336" s="6" t="n">
        <f aca="false">D336/C336</f>
        <v>0.0897058823529412</v>
      </c>
      <c r="F336" s="5" t="n">
        <f aca="false">C336-C335</f>
        <v>-212</v>
      </c>
    </row>
    <row r="337" customFormat="false" ht="15" hidden="false" customHeight="false" outlineLevel="0" collapsed="false">
      <c r="A337" s="4" t="s">
        <v>233</v>
      </c>
      <c r="B337" s="5" t="s">
        <v>288</v>
      </c>
      <c r="C337" s="5" t="n">
        <v>866</v>
      </c>
      <c r="D337" s="5" t="n">
        <v>75</v>
      </c>
      <c r="E337" s="6" t="n">
        <f aca="false">D337/C337</f>
        <v>0.0866050808314088</v>
      </c>
      <c r="F337" s="5" t="s">
        <v>289</v>
      </c>
    </row>
    <row r="338" customFormat="false" ht="15" hidden="false" customHeight="false" outlineLevel="0" collapsed="false">
      <c r="A338" s="4" t="s">
        <v>233</v>
      </c>
      <c r="B338" s="5" t="s">
        <v>290</v>
      </c>
      <c r="C338" s="5" t="n">
        <v>899</v>
      </c>
      <c r="D338" s="5" t="n">
        <v>55</v>
      </c>
      <c r="E338" s="6" t="n">
        <f aca="false">D338/C338</f>
        <v>0.0611790878754171</v>
      </c>
      <c r="F338" s="5" t="n">
        <f aca="false">C338-C337</f>
        <v>33</v>
      </c>
    </row>
    <row r="339" customFormat="false" ht="15" hidden="false" customHeight="false" outlineLevel="0" collapsed="false">
      <c r="A339" s="4" t="s">
        <v>233</v>
      </c>
      <c r="B339" s="5" t="s">
        <v>291</v>
      </c>
      <c r="C339" s="5" t="n">
        <v>848</v>
      </c>
      <c r="D339" s="5" t="n">
        <v>48</v>
      </c>
      <c r="E339" s="6" t="n">
        <f aca="false">D339/C339</f>
        <v>0.0566037735849057</v>
      </c>
      <c r="F339" s="5" t="n">
        <f aca="false">C339-C338</f>
        <v>-51</v>
      </c>
    </row>
    <row r="340" customFormat="false" ht="15" hidden="false" customHeight="false" outlineLevel="0" collapsed="false">
      <c r="A340" s="4" t="s">
        <v>233</v>
      </c>
      <c r="B340" s="5" t="s">
        <v>292</v>
      </c>
      <c r="C340" s="5" t="n">
        <v>767</v>
      </c>
      <c r="D340" s="5" t="n">
        <v>87</v>
      </c>
      <c r="E340" s="6" t="n">
        <f aca="false">D340/C340</f>
        <v>0.113428943937419</v>
      </c>
      <c r="F340" s="5" t="n">
        <f aca="false">C340-C339</f>
        <v>-81</v>
      </c>
    </row>
    <row r="341" customFormat="false" ht="15" hidden="false" customHeight="false" outlineLevel="0" collapsed="false">
      <c r="A341" s="4" t="s">
        <v>235</v>
      </c>
      <c r="B341" s="5" t="s">
        <v>288</v>
      </c>
      <c r="C341" s="5" t="n">
        <v>2133</v>
      </c>
      <c r="D341" s="5" t="n">
        <v>190</v>
      </c>
      <c r="E341" s="6" t="n">
        <f aca="false">D341/C341</f>
        <v>0.0890764181903423</v>
      </c>
      <c r="F341" s="5" t="s">
        <v>289</v>
      </c>
    </row>
    <row r="342" customFormat="false" ht="15" hidden="false" customHeight="false" outlineLevel="0" collapsed="false">
      <c r="A342" s="4" t="s">
        <v>235</v>
      </c>
      <c r="B342" s="5" t="s">
        <v>290</v>
      </c>
      <c r="C342" s="5" t="n">
        <v>2831</v>
      </c>
      <c r="D342" s="5" t="n">
        <v>216</v>
      </c>
      <c r="E342" s="6" t="n">
        <f aca="false">D342/C342</f>
        <v>0.0762981278700106</v>
      </c>
      <c r="F342" s="5" t="n">
        <f aca="false">C342-C341</f>
        <v>698</v>
      </c>
    </row>
    <row r="343" customFormat="false" ht="15" hidden="false" customHeight="false" outlineLevel="0" collapsed="false">
      <c r="A343" s="4" t="s">
        <v>235</v>
      </c>
      <c r="B343" s="5" t="s">
        <v>291</v>
      </c>
      <c r="C343" s="5" t="n">
        <v>2400</v>
      </c>
      <c r="D343" s="5" t="n">
        <v>206</v>
      </c>
      <c r="E343" s="6" t="n">
        <f aca="false">D343/C343</f>
        <v>0.0858333333333333</v>
      </c>
      <c r="F343" s="5" t="n">
        <f aca="false">C343-C342</f>
        <v>-431</v>
      </c>
    </row>
    <row r="344" customFormat="false" ht="15" hidden="false" customHeight="false" outlineLevel="0" collapsed="false">
      <c r="A344" s="4" t="s">
        <v>235</v>
      </c>
      <c r="B344" s="5" t="s">
        <v>292</v>
      </c>
      <c r="C344" s="5" t="n">
        <v>2382</v>
      </c>
      <c r="D344" s="5" t="n">
        <v>179</v>
      </c>
      <c r="E344" s="6" t="n">
        <f aca="false">D344/C344</f>
        <v>0.0751469353484467</v>
      </c>
      <c r="F344" s="5" t="n">
        <f aca="false">C344-C343</f>
        <v>-18</v>
      </c>
    </row>
    <row r="345" customFormat="false" ht="15" hidden="false" customHeight="false" outlineLevel="0" collapsed="false">
      <c r="A345" s="4" t="s">
        <v>237</v>
      </c>
      <c r="B345" s="5" t="s">
        <v>288</v>
      </c>
      <c r="C345" s="5" t="n">
        <v>1259</v>
      </c>
      <c r="D345" s="5" t="n">
        <v>125</v>
      </c>
      <c r="E345" s="6" t="n">
        <f aca="false">D345/C345</f>
        <v>0.0992851469420175</v>
      </c>
      <c r="F345" s="5" t="s">
        <v>289</v>
      </c>
    </row>
    <row r="346" customFormat="false" ht="15" hidden="false" customHeight="false" outlineLevel="0" collapsed="false">
      <c r="A346" s="4" t="s">
        <v>237</v>
      </c>
      <c r="B346" s="5" t="s">
        <v>290</v>
      </c>
      <c r="C346" s="5" t="n">
        <v>1212</v>
      </c>
      <c r="D346" s="5" t="n">
        <v>81</v>
      </c>
      <c r="E346" s="6" t="n">
        <f aca="false">D346/C346</f>
        <v>0.0668316831683168</v>
      </c>
      <c r="F346" s="5" t="n">
        <f aca="false">C346-C345</f>
        <v>-47</v>
      </c>
    </row>
    <row r="347" customFormat="false" ht="15" hidden="false" customHeight="false" outlineLevel="0" collapsed="false">
      <c r="A347" s="4" t="s">
        <v>237</v>
      </c>
      <c r="B347" s="5" t="s">
        <v>291</v>
      </c>
      <c r="C347" s="5" t="n">
        <v>1465</v>
      </c>
      <c r="D347" s="5" t="n">
        <v>114</v>
      </c>
      <c r="E347" s="6" t="n">
        <f aca="false">D347/C347</f>
        <v>0.0778156996587031</v>
      </c>
      <c r="F347" s="5" t="n">
        <f aca="false">C347-C346</f>
        <v>253</v>
      </c>
    </row>
    <row r="348" customFormat="false" ht="15" hidden="false" customHeight="false" outlineLevel="0" collapsed="false">
      <c r="A348" s="4" t="s">
        <v>237</v>
      </c>
      <c r="B348" s="5" t="s">
        <v>292</v>
      </c>
      <c r="C348" s="5" t="n">
        <v>1104</v>
      </c>
      <c r="D348" s="5" t="n">
        <v>89</v>
      </c>
      <c r="E348" s="6" t="n">
        <f aca="false">D348/C348</f>
        <v>0.0806159420289855</v>
      </c>
      <c r="F348" s="5" t="n">
        <f aca="false">C348-C347</f>
        <v>-361</v>
      </c>
    </row>
    <row r="349" customFormat="false" ht="15" hidden="false" customHeight="false" outlineLevel="0" collapsed="false">
      <c r="A349" s="4" t="s">
        <v>239</v>
      </c>
      <c r="B349" s="5" t="s">
        <v>288</v>
      </c>
      <c r="C349" s="5" t="n">
        <v>1444</v>
      </c>
      <c r="D349" s="5" t="n">
        <v>159</v>
      </c>
      <c r="E349" s="6" t="n">
        <f aca="false">D349/C349</f>
        <v>0.1101108033241</v>
      </c>
      <c r="F349" s="5" t="s">
        <v>289</v>
      </c>
    </row>
    <row r="350" customFormat="false" ht="15" hidden="false" customHeight="false" outlineLevel="0" collapsed="false">
      <c r="A350" s="4" t="s">
        <v>239</v>
      </c>
      <c r="B350" s="5" t="s">
        <v>290</v>
      </c>
      <c r="C350" s="5" t="n">
        <v>1041</v>
      </c>
      <c r="D350" s="5" t="n">
        <v>116</v>
      </c>
      <c r="E350" s="6" t="n">
        <f aca="false">D350/C350</f>
        <v>0.111431316042267</v>
      </c>
      <c r="F350" s="5" t="n">
        <f aca="false">C350-C349</f>
        <v>-403</v>
      </c>
    </row>
    <row r="351" customFormat="false" ht="15" hidden="false" customHeight="false" outlineLevel="0" collapsed="false">
      <c r="A351" s="4" t="s">
        <v>239</v>
      </c>
      <c r="B351" s="5" t="s">
        <v>291</v>
      </c>
      <c r="C351" s="5" t="n">
        <v>1042</v>
      </c>
      <c r="D351" s="5" t="n">
        <v>91</v>
      </c>
      <c r="E351" s="6" t="n">
        <f aca="false">D351/C351</f>
        <v>0.0873320537428023</v>
      </c>
      <c r="F351" s="5" t="n">
        <f aca="false">C351-C350</f>
        <v>1</v>
      </c>
    </row>
    <row r="352" customFormat="false" ht="15" hidden="false" customHeight="false" outlineLevel="0" collapsed="false">
      <c r="A352" s="4" t="s">
        <v>239</v>
      </c>
      <c r="B352" s="5" t="s">
        <v>292</v>
      </c>
      <c r="C352" s="5" t="n">
        <v>1452</v>
      </c>
      <c r="D352" s="5" t="n">
        <v>119</v>
      </c>
      <c r="E352" s="6" t="n">
        <f aca="false">D352/C352</f>
        <v>0.0819559228650138</v>
      </c>
      <c r="F352" s="5" t="n">
        <f aca="false">C352-C351</f>
        <v>410</v>
      </c>
    </row>
    <row r="353" customFormat="false" ht="15" hidden="false" customHeight="false" outlineLevel="0" collapsed="false">
      <c r="A353" s="4" t="s">
        <v>241</v>
      </c>
      <c r="B353" s="5" t="s">
        <v>288</v>
      </c>
      <c r="C353" s="5" t="n">
        <v>2787</v>
      </c>
      <c r="D353" s="5" t="n">
        <v>204</v>
      </c>
      <c r="E353" s="6" t="n">
        <f aca="false">D353/C353</f>
        <v>0.0731969860064586</v>
      </c>
      <c r="F353" s="5" t="s">
        <v>289</v>
      </c>
    </row>
    <row r="354" customFormat="false" ht="15" hidden="false" customHeight="false" outlineLevel="0" collapsed="false">
      <c r="A354" s="4" t="s">
        <v>241</v>
      </c>
      <c r="B354" s="5" t="s">
        <v>290</v>
      </c>
      <c r="C354" s="5" t="n">
        <v>2938</v>
      </c>
      <c r="D354" s="5" t="n">
        <v>305</v>
      </c>
      <c r="E354" s="6" t="n">
        <f aca="false">D354/C354</f>
        <v>0.103812117086453</v>
      </c>
      <c r="F354" s="5" t="n">
        <f aca="false">C354-C353</f>
        <v>151</v>
      </c>
    </row>
    <row r="355" customFormat="false" ht="15" hidden="false" customHeight="false" outlineLevel="0" collapsed="false">
      <c r="A355" s="4" t="s">
        <v>241</v>
      </c>
      <c r="B355" s="5" t="s">
        <v>291</v>
      </c>
      <c r="C355" s="5" t="n">
        <v>2521</v>
      </c>
      <c r="D355" s="5" t="n">
        <v>138</v>
      </c>
      <c r="E355" s="6" t="n">
        <f aca="false">D355/C355</f>
        <v>0.0547401824672749</v>
      </c>
      <c r="F355" s="5" t="n">
        <f aca="false">C355-C354</f>
        <v>-417</v>
      </c>
    </row>
    <row r="356" customFormat="false" ht="15" hidden="false" customHeight="false" outlineLevel="0" collapsed="false">
      <c r="A356" s="4" t="s">
        <v>241</v>
      </c>
      <c r="B356" s="5" t="s">
        <v>292</v>
      </c>
      <c r="C356" s="5" t="n">
        <v>2608</v>
      </c>
      <c r="D356" s="5" t="n">
        <v>293</v>
      </c>
      <c r="E356" s="6" t="n">
        <f aca="false">D356/C356</f>
        <v>0.112346625766871</v>
      </c>
      <c r="F356" s="5" t="n">
        <f aca="false">C356-C355</f>
        <v>87</v>
      </c>
    </row>
    <row r="357" customFormat="false" ht="15" hidden="false" customHeight="false" outlineLevel="0" collapsed="false">
      <c r="A357" s="4" t="s">
        <v>243</v>
      </c>
      <c r="B357" s="5" t="s">
        <v>288</v>
      </c>
      <c r="C357" s="5" t="n">
        <v>1205</v>
      </c>
      <c r="D357" s="5" t="n">
        <v>106</v>
      </c>
      <c r="E357" s="6" t="n">
        <f aca="false">D357/C357</f>
        <v>0.0879668049792531</v>
      </c>
      <c r="F357" s="5" t="s">
        <v>289</v>
      </c>
    </row>
    <row r="358" customFormat="false" ht="15" hidden="false" customHeight="false" outlineLevel="0" collapsed="false">
      <c r="A358" s="4" t="s">
        <v>243</v>
      </c>
      <c r="B358" s="5" t="s">
        <v>290</v>
      </c>
      <c r="C358" s="5" t="n">
        <v>1617</v>
      </c>
      <c r="D358" s="5" t="n">
        <v>161</v>
      </c>
      <c r="E358" s="6" t="n">
        <f aca="false">D358/C358</f>
        <v>0.0995670995670996</v>
      </c>
      <c r="F358" s="5" t="n">
        <f aca="false">C358-C357</f>
        <v>412</v>
      </c>
    </row>
    <row r="359" customFormat="false" ht="15" hidden="false" customHeight="false" outlineLevel="0" collapsed="false">
      <c r="A359" s="4" t="s">
        <v>243</v>
      </c>
      <c r="B359" s="5" t="s">
        <v>291</v>
      </c>
      <c r="C359" s="5" t="n">
        <v>1387</v>
      </c>
      <c r="D359" s="5" t="n">
        <v>160</v>
      </c>
      <c r="E359" s="6" t="n">
        <f aca="false">D359/C359</f>
        <v>0.115356885364095</v>
      </c>
      <c r="F359" s="5" t="n">
        <f aca="false">C359-C358</f>
        <v>-230</v>
      </c>
    </row>
    <row r="360" customFormat="false" ht="15" hidden="false" customHeight="false" outlineLevel="0" collapsed="false">
      <c r="A360" s="4" t="s">
        <v>243</v>
      </c>
      <c r="B360" s="5" t="s">
        <v>292</v>
      </c>
      <c r="C360" s="5" t="n">
        <v>1545</v>
      </c>
      <c r="D360" s="5" t="n">
        <v>121</v>
      </c>
      <c r="E360" s="6" t="n">
        <f aca="false">D360/C360</f>
        <v>0.0783171521035599</v>
      </c>
      <c r="F360" s="5" t="n">
        <f aca="false">C360-C359</f>
        <v>158</v>
      </c>
    </row>
    <row r="361" customFormat="false" ht="15" hidden="false" customHeight="false" outlineLevel="0" collapsed="false">
      <c r="A361" s="4" t="s">
        <v>245</v>
      </c>
      <c r="B361" s="5" t="s">
        <v>288</v>
      </c>
      <c r="C361" s="5" t="n">
        <v>1820</v>
      </c>
      <c r="D361" s="5" t="n">
        <v>140</v>
      </c>
      <c r="E361" s="6" t="n">
        <f aca="false">D361/C361</f>
        <v>0.0769230769230769</v>
      </c>
      <c r="F361" s="5" t="s">
        <v>289</v>
      </c>
    </row>
    <row r="362" customFormat="false" ht="15" hidden="false" customHeight="false" outlineLevel="0" collapsed="false">
      <c r="A362" s="4" t="s">
        <v>245</v>
      </c>
      <c r="B362" s="5" t="s">
        <v>290</v>
      </c>
      <c r="C362" s="5" t="n">
        <v>1536</v>
      </c>
      <c r="D362" s="5" t="n">
        <v>107</v>
      </c>
      <c r="E362" s="6" t="n">
        <f aca="false">D362/C362</f>
        <v>0.0696614583333333</v>
      </c>
      <c r="F362" s="5" t="n">
        <f aca="false">C362-C361</f>
        <v>-284</v>
      </c>
    </row>
    <row r="363" customFormat="false" ht="15" hidden="false" customHeight="false" outlineLevel="0" collapsed="false">
      <c r="A363" s="4" t="s">
        <v>245</v>
      </c>
      <c r="B363" s="5" t="s">
        <v>291</v>
      </c>
      <c r="C363" s="5" t="n">
        <v>1589</v>
      </c>
      <c r="D363" s="5" t="n">
        <v>148</v>
      </c>
      <c r="E363" s="6" t="n">
        <f aca="false">D363/C363</f>
        <v>0.0931403398363751</v>
      </c>
      <c r="F363" s="5" t="n">
        <f aca="false">C363-C362</f>
        <v>53</v>
      </c>
    </row>
    <row r="364" customFormat="false" ht="15" hidden="false" customHeight="false" outlineLevel="0" collapsed="false">
      <c r="A364" s="4" t="s">
        <v>245</v>
      </c>
      <c r="B364" s="5" t="s">
        <v>292</v>
      </c>
      <c r="C364" s="5" t="n">
        <v>1614</v>
      </c>
      <c r="D364" s="5" t="n">
        <v>143</v>
      </c>
      <c r="E364" s="6" t="n">
        <f aca="false">D364/C364</f>
        <v>0.0885997521685254</v>
      </c>
      <c r="F364" s="5" t="n">
        <f aca="false">C364-C363</f>
        <v>25</v>
      </c>
    </row>
    <row r="365" customFormat="false" ht="15" hidden="false" customHeight="false" outlineLevel="0" collapsed="false">
      <c r="A365" s="4" t="s">
        <v>247</v>
      </c>
      <c r="B365" s="5" t="s">
        <v>288</v>
      </c>
      <c r="C365" s="5" t="n">
        <v>2164</v>
      </c>
      <c r="D365" s="5" t="n">
        <v>213</v>
      </c>
      <c r="E365" s="6" t="n">
        <f aca="false">D365/C365</f>
        <v>0.0984288354898336</v>
      </c>
      <c r="F365" s="5" t="s">
        <v>289</v>
      </c>
    </row>
    <row r="366" customFormat="false" ht="15" hidden="false" customHeight="false" outlineLevel="0" collapsed="false">
      <c r="A366" s="4" t="s">
        <v>247</v>
      </c>
      <c r="B366" s="5" t="s">
        <v>290</v>
      </c>
      <c r="C366" s="5" t="n">
        <v>2072</v>
      </c>
      <c r="D366" s="5" t="n">
        <v>177</v>
      </c>
      <c r="E366" s="6" t="n">
        <f aca="false">D366/C366</f>
        <v>0.0854247104247104</v>
      </c>
      <c r="F366" s="5" t="n">
        <f aca="false">C366-C365</f>
        <v>-92</v>
      </c>
    </row>
    <row r="367" customFormat="false" ht="15" hidden="false" customHeight="false" outlineLevel="0" collapsed="false">
      <c r="A367" s="4" t="s">
        <v>247</v>
      </c>
      <c r="B367" s="5" t="s">
        <v>291</v>
      </c>
      <c r="C367" s="5" t="n">
        <v>2066</v>
      </c>
      <c r="D367" s="5" t="n">
        <v>189</v>
      </c>
      <c r="E367" s="6" t="n">
        <f aca="false">D367/C367</f>
        <v>0.0914811229428848</v>
      </c>
      <c r="F367" s="5" t="n">
        <f aca="false">C367-C366</f>
        <v>-6</v>
      </c>
    </row>
    <row r="368" customFormat="false" ht="15" hidden="false" customHeight="false" outlineLevel="0" collapsed="false">
      <c r="A368" s="4" t="s">
        <v>247</v>
      </c>
      <c r="B368" s="5" t="s">
        <v>292</v>
      </c>
      <c r="C368" s="5" t="n">
        <v>2053</v>
      </c>
      <c r="D368" s="5" t="n">
        <v>223</v>
      </c>
      <c r="E368" s="6" t="n">
        <f aca="false">D368/C368</f>
        <v>0.10862152946907</v>
      </c>
      <c r="F368" s="5" t="n">
        <f aca="false">C368-C367</f>
        <v>-13</v>
      </c>
    </row>
    <row r="369" customFormat="false" ht="15" hidden="false" customHeight="false" outlineLevel="0" collapsed="false">
      <c r="A369" s="4" t="s">
        <v>249</v>
      </c>
      <c r="B369" s="5" t="s">
        <v>288</v>
      </c>
      <c r="C369" s="5" t="n">
        <v>1926</v>
      </c>
      <c r="D369" s="5" t="n">
        <v>219</v>
      </c>
      <c r="E369" s="6" t="n">
        <f aca="false">D369/C369</f>
        <v>0.113707165109034</v>
      </c>
      <c r="F369" s="5" t="s">
        <v>289</v>
      </c>
    </row>
    <row r="370" customFormat="false" ht="15" hidden="false" customHeight="false" outlineLevel="0" collapsed="false">
      <c r="A370" s="4" t="s">
        <v>249</v>
      </c>
      <c r="B370" s="5" t="s">
        <v>290</v>
      </c>
      <c r="C370" s="5" t="n">
        <v>2042</v>
      </c>
      <c r="D370" s="5" t="n">
        <v>86</v>
      </c>
      <c r="E370" s="6" t="n">
        <f aca="false">D370/C370</f>
        <v>0.0421155729676788</v>
      </c>
      <c r="F370" s="5" t="n">
        <f aca="false">C370-C369</f>
        <v>116</v>
      </c>
    </row>
    <row r="371" customFormat="false" ht="15" hidden="false" customHeight="false" outlineLevel="0" collapsed="false">
      <c r="A371" s="4" t="s">
        <v>249</v>
      </c>
      <c r="B371" s="5" t="s">
        <v>291</v>
      </c>
      <c r="C371" s="5" t="n">
        <v>2179</v>
      </c>
      <c r="D371" s="5" t="n">
        <v>90</v>
      </c>
      <c r="E371" s="6" t="n">
        <f aca="false">D371/C371</f>
        <v>0.0413033501606241</v>
      </c>
      <c r="F371" s="5" t="n">
        <f aca="false">C371-C370</f>
        <v>137</v>
      </c>
    </row>
    <row r="372" customFormat="false" ht="15" hidden="false" customHeight="false" outlineLevel="0" collapsed="false">
      <c r="A372" s="4" t="s">
        <v>249</v>
      </c>
      <c r="B372" s="5" t="s">
        <v>292</v>
      </c>
      <c r="C372" s="5" t="n">
        <v>2095</v>
      </c>
      <c r="D372" s="5" t="n">
        <v>212</v>
      </c>
      <c r="E372" s="6" t="n">
        <f aca="false">D372/C372</f>
        <v>0.101193317422434</v>
      </c>
      <c r="F372" s="5" t="n">
        <f aca="false">C372-C371</f>
        <v>-84</v>
      </c>
    </row>
    <row r="373" customFormat="false" ht="15" hidden="false" customHeight="false" outlineLevel="0" collapsed="false">
      <c r="A373" s="4" t="s">
        <v>251</v>
      </c>
      <c r="B373" s="5" t="s">
        <v>288</v>
      </c>
      <c r="C373" s="5" t="n">
        <v>648</v>
      </c>
      <c r="D373" s="5" t="n">
        <v>32</v>
      </c>
      <c r="E373" s="6" t="n">
        <f aca="false">D373/C373</f>
        <v>0.0493827160493827</v>
      </c>
      <c r="F373" s="5" t="s">
        <v>289</v>
      </c>
    </row>
    <row r="374" customFormat="false" ht="15" hidden="false" customHeight="false" outlineLevel="0" collapsed="false">
      <c r="A374" s="4" t="s">
        <v>251</v>
      </c>
      <c r="B374" s="5" t="s">
        <v>290</v>
      </c>
      <c r="C374" s="5" t="n">
        <v>690</v>
      </c>
      <c r="D374" s="5" t="n">
        <v>58</v>
      </c>
      <c r="E374" s="6" t="n">
        <f aca="false">D374/C374</f>
        <v>0.0840579710144928</v>
      </c>
      <c r="F374" s="5" t="n">
        <f aca="false">C374-C373</f>
        <v>42</v>
      </c>
    </row>
    <row r="375" customFormat="false" ht="15" hidden="false" customHeight="false" outlineLevel="0" collapsed="false">
      <c r="A375" s="4" t="s">
        <v>251</v>
      </c>
      <c r="B375" s="5" t="s">
        <v>291</v>
      </c>
      <c r="C375" s="5" t="n">
        <v>582</v>
      </c>
      <c r="D375" s="5" t="n">
        <v>58</v>
      </c>
      <c r="E375" s="6" t="n">
        <f aca="false">D375/C375</f>
        <v>0.0996563573883162</v>
      </c>
      <c r="F375" s="5" t="n">
        <f aca="false">C375-C374</f>
        <v>-108</v>
      </c>
    </row>
    <row r="376" customFormat="false" ht="15" hidden="false" customHeight="false" outlineLevel="0" collapsed="false">
      <c r="A376" s="4" t="s">
        <v>251</v>
      </c>
      <c r="B376" s="5" t="s">
        <v>292</v>
      </c>
      <c r="C376" s="5" t="n">
        <v>775</v>
      </c>
      <c r="D376" s="5" t="n">
        <v>68</v>
      </c>
      <c r="E376" s="6" t="n">
        <f aca="false">D376/C376</f>
        <v>0.087741935483871</v>
      </c>
      <c r="F376" s="5" t="n">
        <f aca="false">C376-C375</f>
        <v>193</v>
      </c>
    </row>
    <row r="377" customFormat="false" ht="15" hidden="false" customHeight="false" outlineLevel="0" collapsed="false">
      <c r="A377" s="4" t="s">
        <v>253</v>
      </c>
      <c r="B377" s="5" t="s">
        <v>288</v>
      </c>
      <c r="C377" s="5" t="n">
        <v>1280</v>
      </c>
      <c r="D377" s="5" t="n">
        <v>71</v>
      </c>
      <c r="E377" s="6" t="n">
        <f aca="false">D377/C377</f>
        <v>0.05546875</v>
      </c>
      <c r="F377" s="5" t="s">
        <v>289</v>
      </c>
    </row>
    <row r="378" customFormat="false" ht="15" hidden="false" customHeight="false" outlineLevel="0" collapsed="false">
      <c r="A378" s="4" t="s">
        <v>253</v>
      </c>
      <c r="B378" s="5" t="s">
        <v>290</v>
      </c>
      <c r="C378" s="5" t="n">
        <v>1427</v>
      </c>
      <c r="D378" s="5" t="n">
        <v>147</v>
      </c>
      <c r="E378" s="6" t="n">
        <f aca="false">D378/C378</f>
        <v>0.103013314646111</v>
      </c>
      <c r="F378" s="5" t="n">
        <f aca="false">C378-C377</f>
        <v>147</v>
      </c>
    </row>
    <row r="379" customFormat="false" ht="15" hidden="false" customHeight="false" outlineLevel="0" collapsed="false">
      <c r="A379" s="4" t="s">
        <v>253</v>
      </c>
      <c r="B379" s="5" t="s">
        <v>291</v>
      </c>
      <c r="C379" s="5" t="n">
        <v>1061</v>
      </c>
      <c r="D379" s="5" t="n">
        <v>51</v>
      </c>
      <c r="E379" s="6" t="n">
        <f aca="false">D379/C379</f>
        <v>0.0480678605089538</v>
      </c>
      <c r="F379" s="5" t="n">
        <f aca="false">C379-C378</f>
        <v>-366</v>
      </c>
    </row>
    <row r="380" customFormat="false" ht="15" hidden="false" customHeight="false" outlineLevel="0" collapsed="false">
      <c r="A380" s="4" t="s">
        <v>253</v>
      </c>
      <c r="B380" s="5" t="s">
        <v>292</v>
      </c>
      <c r="C380" s="5" t="n">
        <v>1453</v>
      </c>
      <c r="D380" s="5" t="n">
        <v>93</v>
      </c>
      <c r="E380" s="6" t="n">
        <f aca="false">D380/C380</f>
        <v>0.0640055058499656</v>
      </c>
      <c r="F380" s="5" t="n">
        <f aca="false">C380-C379</f>
        <v>392</v>
      </c>
    </row>
    <row r="381" customFormat="false" ht="15" hidden="false" customHeight="false" outlineLevel="0" collapsed="false">
      <c r="A381" s="4" t="s">
        <v>255</v>
      </c>
      <c r="B381" s="5" t="s">
        <v>288</v>
      </c>
      <c r="C381" s="5" t="n">
        <v>1192</v>
      </c>
      <c r="D381" s="5" t="n">
        <v>135</v>
      </c>
      <c r="E381" s="6" t="n">
        <f aca="false">D381/C381</f>
        <v>0.113255033557047</v>
      </c>
      <c r="F381" s="5" t="s">
        <v>289</v>
      </c>
    </row>
    <row r="382" customFormat="false" ht="15" hidden="false" customHeight="false" outlineLevel="0" collapsed="false">
      <c r="A382" s="4" t="s">
        <v>255</v>
      </c>
      <c r="B382" s="5" t="s">
        <v>290</v>
      </c>
      <c r="C382" s="5" t="n">
        <v>1321</v>
      </c>
      <c r="D382" s="5" t="n">
        <v>145</v>
      </c>
      <c r="E382" s="6" t="n">
        <f aca="false">D382/C382</f>
        <v>0.109765329295988</v>
      </c>
      <c r="F382" s="5" t="n">
        <f aca="false">C382-C381</f>
        <v>129</v>
      </c>
    </row>
    <row r="383" customFormat="false" ht="15" hidden="false" customHeight="false" outlineLevel="0" collapsed="false">
      <c r="A383" s="4" t="s">
        <v>255</v>
      </c>
      <c r="B383" s="5" t="s">
        <v>291</v>
      </c>
      <c r="C383" s="5" t="n">
        <v>1305</v>
      </c>
      <c r="D383" s="5" t="n">
        <v>156</v>
      </c>
      <c r="E383" s="6" t="n">
        <f aca="false">D383/C383</f>
        <v>0.119540229885057</v>
      </c>
      <c r="F383" s="5" t="n">
        <f aca="false">C383-C382</f>
        <v>-16</v>
      </c>
    </row>
    <row r="384" customFormat="false" ht="15" hidden="false" customHeight="false" outlineLevel="0" collapsed="false">
      <c r="A384" s="4" t="s">
        <v>255</v>
      </c>
      <c r="B384" s="5" t="s">
        <v>292</v>
      </c>
      <c r="C384" s="5" t="n">
        <v>1243</v>
      </c>
      <c r="D384" s="5" t="n">
        <v>94</v>
      </c>
      <c r="E384" s="6" t="n">
        <f aca="false">D384/C384</f>
        <v>0.0756234915526951</v>
      </c>
      <c r="F384" s="5" t="n">
        <f aca="false">C384-C383</f>
        <v>-62</v>
      </c>
    </row>
    <row r="385" customFormat="false" ht="15" hidden="false" customHeight="false" outlineLevel="0" collapsed="false">
      <c r="A385" s="4" t="s">
        <v>257</v>
      </c>
      <c r="B385" s="5" t="s">
        <v>288</v>
      </c>
      <c r="C385" s="5" t="n">
        <v>1197</v>
      </c>
      <c r="D385" s="5" t="n">
        <v>105</v>
      </c>
      <c r="E385" s="6" t="n">
        <f aca="false">D385/C385</f>
        <v>0.087719298245614</v>
      </c>
      <c r="F385" s="5" t="s">
        <v>289</v>
      </c>
    </row>
    <row r="386" customFormat="false" ht="15" hidden="false" customHeight="false" outlineLevel="0" collapsed="false">
      <c r="A386" s="4" t="s">
        <v>257</v>
      </c>
      <c r="B386" s="5" t="s">
        <v>290</v>
      </c>
      <c r="C386" s="5" t="n">
        <v>938</v>
      </c>
      <c r="D386" s="5" t="n">
        <v>61</v>
      </c>
      <c r="E386" s="6" t="n">
        <f aca="false">D386/C386</f>
        <v>0.0650319829424307</v>
      </c>
      <c r="F386" s="5" t="n">
        <f aca="false">C386-C385</f>
        <v>-259</v>
      </c>
    </row>
    <row r="387" customFormat="false" ht="15" hidden="false" customHeight="false" outlineLevel="0" collapsed="false">
      <c r="A387" s="4" t="s">
        <v>257</v>
      </c>
      <c r="B387" s="5" t="s">
        <v>291</v>
      </c>
      <c r="C387" s="5" t="n">
        <v>1125</v>
      </c>
      <c r="D387" s="5" t="n">
        <v>47</v>
      </c>
      <c r="E387" s="6" t="n">
        <f aca="false">D387/C387</f>
        <v>0.0417777777777778</v>
      </c>
      <c r="F387" s="5" t="n">
        <f aca="false">C387-C386</f>
        <v>187</v>
      </c>
    </row>
    <row r="388" customFormat="false" ht="15" hidden="false" customHeight="false" outlineLevel="0" collapsed="false">
      <c r="A388" s="4" t="s">
        <v>257</v>
      </c>
      <c r="B388" s="5" t="s">
        <v>292</v>
      </c>
      <c r="C388" s="5" t="n">
        <v>1234</v>
      </c>
      <c r="D388" s="5" t="n">
        <v>127</v>
      </c>
      <c r="E388" s="6" t="n">
        <f aca="false">D388/C388</f>
        <v>0.10291734197731</v>
      </c>
      <c r="F388" s="5" t="n">
        <f aca="false">C388-C387</f>
        <v>109</v>
      </c>
    </row>
    <row r="389" customFormat="false" ht="15" hidden="false" customHeight="false" outlineLevel="0" collapsed="false">
      <c r="A389" s="4" t="s">
        <v>259</v>
      </c>
      <c r="B389" s="5" t="s">
        <v>288</v>
      </c>
      <c r="C389" s="5" t="n">
        <v>609</v>
      </c>
      <c r="D389" s="5" t="n">
        <v>58</v>
      </c>
      <c r="E389" s="6" t="n">
        <f aca="false">D389/C389</f>
        <v>0.0952380952380952</v>
      </c>
      <c r="F389" s="5" t="s">
        <v>289</v>
      </c>
    </row>
    <row r="390" customFormat="false" ht="15" hidden="false" customHeight="false" outlineLevel="0" collapsed="false">
      <c r="A390" s="4" t="s">
        <v>259</v>
      </c>
      <c r="B390" s="5" t="s">
        <v>290</v>
      </c>
      <c r="C390" s="5" t="n">
        <v>643</v>
      </c>
      <c r="D390" s="5" t="n">
        <v>36</v>
      </c>
      <c r="E390" s="6" t="n">
        <f aca="false">D390/C390</f>
        <v>0.0559875583203733</v>
      </c>
      <c r="F390" s="5" t="n">
        <f aca="false">C390-C389</f>
        <v>34</v>
      </c>
    </row>
    <row r="391" customFormat="false" ht="15" hidden="false" customHeight="false" outlineLevel="0" collapsed="false">
      <c r="A391" s="4" t="s">
        <v>259</v>
      </c>
      <c r="B391" s="5" t="s">
        <v>291</v>
      </c>
      <c r="C391" s="5" t="n">
        <v>494</v>
      </c>
      <c r="D391" s="5" t="n">
        <v>38</v>
      </c>
      <c r="E391" s="6" t="n">
        <f aca="false">D391/C391</f>
        <v>0.0769230769230769</v>
      </c>
      <c r="F391" s="5" t="n">
        <f aca="false">C391-C390</f>
        <v>-149</v>
      </c>
    </row>
    <row r="392" customFormat="false" ht="15" hidden="false" customHeight="false" outlineLevel="0" collapsed="false">
      <c r="A392" s="4" t="s">
        <v>259</v>
      </c>
      <c r="B392" s="5" t="s">
        <v>292</v>
      </c>
      <c r="C392" s="5" t="n">
        <v>453</v>
      </c>
      <c r="D392" s="5" t="n">
        <v>26</v>
      </c>
      <c r="E392" s="6" t="n">
        <f aca="false">D392/C392</f>
        <v>0.0573951434878587</v>
      </c>
      <c r="F392" s="5" t="n">
        <f aca="false">C392-C391</f>
        <v>-41</v>
      </c>
    </row>
    <row r="393" customFormat="false" ht="15" hidden="false" customHeight="false" outlineLevel="0" collapsed="false">
      <c r="A393" s="4" t="s">
        <v>261</v>
      </c>
      <c r="B393" s="5" t="s">
        <v>288</v>
      </c>
      <c r="C393" s="5" t="n">
        <v>2100</v>
      </c>
      <c r="D393" s="5" t="n">
        <v>161</v>
      </c>
      <c r="E393" s="6" t="n">
        <f aca="false">D393/C393</f>
        <v>0.0766666666666667</v>
      </c>
      <c r="F393" s="5" t="s">
        <v>289</v>
      </c>
    </row>
    <row r="394" customFormat="false" ht="15" hidden="false" customHeight="false" outlineLevel="0" collapsed="false">
      <c r="A394" s="4" t="s">
        <v>261</v>
      </c>
      <c r="B394" s="5" t="s">
        <v>290</v>
      </c>
      <c r="C394" s="5" t="n">
        <v>1680</v>
      </c>
      <c r="D394" s="5" t="n">
        <v>181</v>
      </c>
      <c r="E394" s="6" t="n">
        <f aca="false">D394/C394</f>
        <v>0.107738095238095</v>
      </c>
      <c r="F394" s="5" t="n">
        <f aca="false">C394-C393</f>
        <v>-420</v>
      </c>
    </row>
    <row r="395" customFormat="false" ht="15" hidden="false" customHeight="false" outlineLevel="0" collapsed="false">
      <c r="A395" s="4" t="s">
        <v>261</v>
      </c>
      <c r="B395" s="5" t="s">
        <v>291</v>
      </c>
      <c r="C395" s="5" t="n">
        <v>1532</v>
      </c>
      <c r="D395" s="5" t="n">
        <v>86</v>
      </c>
      <c r="E395" s="6" t="n">
        <f aca="false">D395/C395</f>
        <v>0.056135770234987</v>
      </c>
      <c r="F395" s="5" t="n">
        <f aca="false">C395-C394</f>
        <v>-148</v>
      </c>
    </row>
    <row r="396" customFormat="false" ht="15" hidden="false" customHeight="false" outlineLevel="0" collapsed="false">
      <c r="A396" s="4" t="s">
        <v>261</v>
      </c>
      <c r="B396" s="5" t="s">
        <v>292</v>
      </c>
      <c r="C396" s="5" t="n">
        <v>1554</v>
      </c>
      <c r="D396" s="5" t="n">
        <v>109</v>
      </c>
      <c r="E396" s="6" t="n">
        <f aca="false">D396/C396</f>
        <v>0.0701415701415701</v>
      </c>
      <c r="F396" s="5" t="n">
        <f aca="false">C396-C395</f>
        <v>22</v>
      </c>
    </row>
    <row r="397" customFormat="false" ht="15" hidden="false" customHeight="false" outlineLevel="0" collapsed="false">
      <c r="A397" s="4" t="s">
        <v>263</v>
      </c>
      <c r="B397" s="5" t="s">
        <v>288</v>
      </c>
      <c r="C397" s="5" t="n">
        <v>596</v>
      </c>
      <c r="D397" s="5" t="n">
        <v>56</v>
      </c>
      <c r="E397" s="6" t="n">
        <f aca="false">D397/C397</f>
        <v>0.0939597315436242</v>
      </c>
      <c r="F397" s="5" t="s">
        <v>289</v>
      </c>
    </row>
    <row r="398" customFormat="false" ht="15" hidden="false" customHeight="false" outlineLevel="0" collapsed="false">
      <c r="A398" s="4" t="s">
        <v>263</v>
      </c>
      <c r="B398" s="5" t="s">
        <v>290</v>
      </c>
      <c r="C398" s="5" t="n">
        <v>505</v>
      </c>
      <c r="D398" s="5" t="n">
        <v>43</v>
      </c>
      <c r="E398" s="6" t="n">
        <f aca="false">D398/C398</f>
        <v>0.0851485148514852</v>
      </c>
      <c r="F398" s="5" t="n">
        <f aca="false">C398-C397</f>
        <v>-91</v>
      </c>
    </row>
    <row r="399" customFormat="false" ht="15" hidden="false" customHeight="false" outlineLevel="0" collapsed="false">
      <c r="A399" s="4" t="s">
        <v>263</v>
      </c>
      <c r="B399" s="5" t="s">
        <v>291</v>
      </c>
      <c r="C399" s="5" t="n">
        <v>681</v>
      </c>
      <c r="D399" s="5" t="n">
        <v>71</v>
      </c>
      <c r="E399" s="6" t="n">
        <f aca="false">D399/C399</f>
        <v>0.104258443465492</v>
      </c>
      <c r="F399" s="5" t="n">
        <f aca="false">C399-C398</f>
        <v>176</v>
      </c>
    </row>
    <row r="400" customFormat="false" ht="15" hidden="false" customHeight="false" outlineLevel="0" collapsed="false">
      <c r="A400" s="4" t="s">
        <v>263</v>
      </c>
      <c r="B400" s="5" t="s">
        <v>292</v>
      </c>
      <c r="C400" s="5" t="n">
        <v>490</v>
      </c>
      <c r="D400" s="5" t="n">
        <v>22</v>
      </c>
      <c r="E400" s="6" t="n">
        <f aca="false">D400/C400</f>
        <v>0.0448979591836735</v>
      </c>
      <c r="F400" s="5" t="n">
        <f aca="false">C400-C399</f>
        <v>-191</v>
      </c>
    </row>
    <row r="401" customFormat="false" ht="15" hidden="false" customHeight="false" outlineLevel="0" collapsed="false">
      <c r="A401" s="4" t="s">
        <v>265</v>
      </c>
      <c r="B401" s="5" t="s">
        <v>288</v>
      </c>
      <c r="C401" s="5" t="n">
        <v>369</v>
      </c>
      <c r="D401" s="5" t="n">
        <v>29</v>
      </c>
      <c r="E401" s="6" t="n">
        <f aca="false">D401/C401</f>
        <v>0.0785907859078591</v>
      </c>
      <c r="F401" s="5" t="s">
        <v>289</v>
      </c>
    </row>
    <row r="402" customFormat="false" ht="15" hidden="false" customHeight="false" outlineLevel="0" collapsed="false">
      <c r="A402" s="4" t="s">
        <v>265</v>
      </c>
      <c r="B402" s="5" t="s">
        <v>290</v>
      </c>
      <c r="C402" s="5" t="n">
        <v>353</v>
      </c>
      <c r="D402" s="5" t="n">
        <v>28</v>
      </c>
      <c r="E402" s="6" t="n">
        <f aca="false">D402/C402</f>
        <v>0.0793201133144476</v>
      </c>
      <c r="F402" s="5" t="n">
        <f aca="false">C402-C401</f>
        <v>-16</v>
      </c>
    </row>
    <row r="403" customFormat="false" ht="15" hidden="false" customHeight="false" outlineLevel="0" collapsed="false">
      <c r="A403" s="4" t="s">
        <v>265</v>
      </c>
      <c r="B403" s="5" t="s">
        <v>291</v>
      </c>
      <c r="C403" s="5" t="n">
        <v>329</v>
      </c>
      <c r="D403" s="5" t="n">
        <v>23</v>
      </c>
      <c r="E403" s="6" t="n">
        <f aca="false">D403/C403</f>
        <v>0.0699088145896657</v>
      </c>
      <c r="F403" s="5" t="n">
        <f aca="false">C403-C402</f>
        <v>-24</v>
      </c>
    </row>
    <row r="404" customFormat="false" ht="15" hidden="false" customHeight="false" outlineLevel="0" collapsed="false">
      <c r="A404" s="4" t="s">
        <v>265</v>
      </c>
      <c r="B404" s="5" t="s">
        <v>292</v>
      </c>
      <c r="C404" s="5" t="n">
        <v>397</v>
      </c>
      <c r="D404" s="5" t="n">
        <v>30</v>
      </c>
      <c r="E404" s="6" t="n">
        <f aca="false">D404/C404</f>
        <v>0.0755667506297229</v>
      </c>
      <c r="F404" s="5" t="n">
        <f aca="false">C404-C403</f>
        <v>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8"/>
    <col collapsed="false" customWidth="true" hidden="false" outlineLevel="0" max="3" min="3" style="0" width="13"/>
    <col collapsed="false" customWidth="true" hidden="false" outlineLevel="0" max="4" min="4" style="0" width="25"/>
    <col collapsed="false" customWidth="true" hidden="false" outlineLevel="0" max="5" min="5" style="0" width="12"/>
  </cols>
  <sheetData>
    <row r="1" customFormat="false" ht="17.35" hidden="false" customHeight="false" outlineLevel="0" collapsed="false">
      <c r="A1" s="1" t="s">
        <v>293</v>
      </c>
    </row>
    <row r="2" customFormat="false" ht="15" hidden="false" customHeight="false" outlineLevel="0" collapsed="false">
      <c r="A2" s="2" t="s">
        <v>294</v>
      </c>
    </row>
    <row r="4" customFormat="false" ht="15" hidden="false" customHeight="false" outlineLevel="0" collapsed="false">
      <c r="A4" s="3" t="s">
        <v>2</v>
      </c>
      <c r="B4" s="3" t="s">
        <v>295</v>
      </c>
      <c r="C4" s="3" t="s">
        <v>296</v>
      </c>
      <c r="D4" s="3" t="s">
        <v>297</v>
      </c>
      <c r="E4" s="3" t="s">
        <v>298</v>
      </c>
    </row>
    <row r="5" customFormat="false" ht="15" hidden="false" customHeight="false" outlineLevel="0" collapsed="false">
      <c r="A5" s="4" t="s">
        <v>10</v>
      </c>
      <c r="B5" s="5" t="s">
        <v>299</v>
      </c>
      <c r="C5" s="5" t="s">
        <v>300</v>
      </c>
      <c r="D5" s="5" t="s">
        <v>301</v>
      </c>
      <c r="E5" s="5" t="s">
        <v>302</v>
      </c>
    </row>
    <row r="6" customFormat="false" ht="15" hidden="false" customHeight="false" outlineLevel="0" collapsed="false">
      <c r="A6" s="4" t="s">
        <v>18</v>
      </c>
      <c r="B6" s="5" t="s">
        <v>303</v>
      </c>
      <c r="C6" s="5" t="s">
        <v>304</v>
      </c>
      <c r="D6" s="5"/>
      <c r="E6" s="5" t="s">
        <v>305</v>
      </c>
    </row>
    <row r="7" customFormat="false" ht="15" hidden="false" customHeight="false" outlineLevel="0" collapsed="false">
      <c r="A7" s="4" t="s">
        <v>25</v>
      </c>
      <c r="B7" s="5" t="s">
        <v>306</v>
      </c>
      <c r="C7" s="5" t="s">
        <v>304</v>
      </c>
      <c r="D7" s="5"/>
      <c r="E7" s="5" t="s">
        <v>305</v>
      </c>
    </row>
    <row r="8" customFormat="false" ht="15" hidden="false" customHeight="false" outlineLevel="0" collapsed="false">
      <c r="A8" s="4" t="s">
        <v>32</v>
      </c>
      <c r="B8" s="5" t="s">
        <v>307</v>
      </c>
      <c r="C8" s="5" t="s">
        <v>308</v>
      </c>
      <c r="D8" s="5"/>
      <c r="E8" s="5" t="s">
        <v>305</v>
      </c>
    </row>
    <row r="9" customFormat="false" ht="15" hidden="false" customHeight="false" outlineLevel="0" collapsed="false">
      <c r="A9" s="4" t="s">
        <v>40</v>
      </c>
      <c r="B9" s="5" t="s">
        <v>309</v>
      </c>
      <c r="C9" s="5" t="s">
        <v>300</v>
      </c>
      <c r="D9" s="5"/>
      <c r="E9" s="5" t="s">
        <v>305</v>
      </c>
    </row>
    <row r="10" customFormat="false" ht="15" hidden="false" customHeight="false" outlineLevel="0" collapsed="false">
      <c r="A10" s="4" t="s">
        <v>48</v>
      </c>
      <c r="B10" s="5" t="s">
        <v>310</v>
      </c>
      <c r="C10" s="5" t="s">
        <v>308</v>
      </c>
      <c r="D10" s="5"/>
      <c r="E10" s="5" t="s">
        <v>311</v>
      </c>
    </row>
    <row r="11" customFormat="false" ht="15" hidden="false" customHeight="false" outlineLevel="0" collapsed="false">
      <c r="A11" s="4" t="s">
        <v>55</v>
      </c>
      <c r="B11" s="5" t="s">
        <v>312</v>
      </c>
      <c r="C11" s="5" t="s">
        <v>308</v>
      </c>
      <c r="D11" s="5" t="s">
        <v>313</v>
      </c>
      <c r="E11" s="5" t="s">
        <v>302</v>
      </c>
    </row>
    <row r="12" customFormat="false" ht="15" hidden="false" customHeight="false" outlineLevel="0" collapsed="false">
      <c r="A12" s="4" t="s">
        <v>61</v>
      </c>
      <c r="B12" s="5" t="s">
        <v>314</v>
      </c>
      <c r="C12" s="5" t="s">
        <v>308</v>
      </c>
      <c r="D12" s="5"/>
      <c r="E12" s="5" t="s">
        <v>305</v>
      </c>
    </row>
    <row r="13" customFormat="false" ht="15" hidden="false" customHeight="false" outlineLevel="0" collapsed="false">
      <c r="A13" s="4" t="s">
        <v>67</v>
      </c>
      <c r="B13" s="5" t="s">
        <v>299</v>
      </c>
      <c r="C13" s="5" t="s">
        <v>300</v>
      </c>
      <c r="D13" s="5" t="s">
        <v>301</v>
      </c>
      <c r="E13" s="5" t="s">
        <v>305</v>
      </c>
    </row>
    <row r="14" customFormat="false" ht="15" hidden="false" customHeight="false" outlineLevel="0" collapsed="false">
      <c r="A14" s="4" t="s">
        <v>72</v>
      </c>
      <c r="B14" s="5" t="s">
        <v>303</v>
      </c>
      <c r="C14" s="5" t="s">
        <v>304</v>
      </c>
      <c r="D14" s="5"/>
      <c r="E14" s="5" t="s">
        <v>311</v>
      </c>
    </row>
    <row r="15" customFormat="false" ht="15" hidden="false" customHeight="false" outlineLevel="0" collapsed="false">
      <c r="A15" s="4" t="s">
        <v>77</v>
      </c>
      <c r="B15" s="5" t="s">
        <v>306</v>
      </c>
      <c r="C15" s="5" t="s">
        <v>304</v>
      </c>
      <c r="D15" s="5"/>
      <c r="E15" s="5" t="s">
        <v>311</v>
      </c>
    </row>
    <row r="16" customFormat="false" ht="15" hidden="false" customHeight="false" outlineLevel="0" collapsed="false">
      <c r="A16" s="4" t="s">
        <v>80</v>
      </c>
      <c r="B16" s="5" t="s">
        <v>307</v>
      </c>
      <c r="C16" s="5" t="s">
        <v>308</v>
      </c>
      <c r="D16" s="5" t="s">
        <v>315</v>
      </c>
      <c r="E16" s="5" t="s">
        <v>311</v>
      </c>
    </row>
    <row r="17" customFormat="false" ht="15" hidden="false" customHeight="false" outlineLevel="0" collapsed="false">
      <c r="A17" s="4" t="s">
        <v>83</v>
      </c>
      <c r="B17" s="5" t="s">
        <v>309</v>
      </c>
      <c r="C17" s="5" t="s">
        <v>300</v>
      </c>
      <c r="D17" s="5" t="s">
        <v>315</v>
      </c>
      <c r="E17" s="5" t="s">
        <v>311</v>
      </c>
    </row>
    <row r="18" customFormat="false" ht="15" hidden="false" customHeight="false" outlineLevel="0" collapsed="false">
      <c r="A18" s="4" t="s">
        <v>86</v>
      </c>
      <c r="B18" s="5" t="s">
        <v>310</v>
      </c>
      <c r="C18" s="5" t="s">
        <v>308</v>
      </c>
      <c r="D18" s="5"/>
      <c r="E18" s="5" t="s">
        <v>302</v>
      </c>
    </row>
    <row r="19" customFormat="false" ht="15" hidden="false" customHeight="false" outlineLevel="0" collapsed="false">
      <c r="A19" s="4" t="s">
        <v>89</v>
      </c>
      <c r="B19" s="5" t="s">
        <v>312</v>
      </c>
      <c r="C19" s="5" t="s">
        <v>308</v>
      </c>
      <c r="D19" s="5"/>
      <c r="E19" s="5" t="s">
        <v>302</v>
      </c>
    </row>
    <row r="20" customFormat="false" ht="15" hidden="false" customHeight="false" outlineLevel="0" collapsed="false">
      <c r="A20" s="4" t="s">
        <v>92</v>
      </c>
      <c r="B20" s="5" t="s">
        <v>314</v>
      </c>
      <c r="C20" s="5" t="s">
        <v>308</v>
      </c>
      <c r="D20" s="5"/>
      <c r="E20" s="5" t="s">
        <v>305</v>
      </c>
    </row>
    <row r="21" customFormat="false" ht="15" hidden="false" customHeight="false" outlineLevel="0" collapsed="false">
      <c r="A21" s="4" t="s">
        <v>95</v>
      </c>
      <c r="B21" s="5" t="s">
        <v>299</v>
      </c>
      <c r="C21" s="5" t="s">
        <v>300</v>
      </c>
      <c r="D21" s="5" t="s">
        <v>301</v>
      </c>
      <c r="E21" s="5" t="s">
        <v>302</v>
      </c>
    </row>
    <row r="22" customFormat="false" ht="15" hidden="false" customHeight="false" outlineLevel="0" collapsed="false">
      <c r="A22" s="4" t="s">
        <v>98</v>
      </c>
      <c r="B22" s="5" t="s">
        <v>303</v>
      </c>
      <c r="C22" s="5" t="s">
        <v>304</v>
      </c>
      <c r="D22" s="5"/>
      <c r="E22" s="5" t="s">
        <v>302</v>
      </c>
    </row>
    <row r="23" customFormat="false" ht="15" hidden="false" customHeight="false" outlineLevel="0" collapsed="false">
      <c r="A23" s="4" t="s">
        <v>101</v>
      </c>
      <c r="B23" s="5" t="s">
        <v>306</v>
      </c>
      <c r="C23" s="5" t="s">
        <v>304</v>
      </c>
      <c r="D23" s="5"/>
      <c r="E23" s="5" t="s">
        <v>311</v>
      </c>
    </row>
    <row r="24" customFormat="false" ht="15" hidden="false" customHeight="false" outlineLevel="0" collapsed="false">
      <c r="A24" s="4" t="s">
        <v>104</v>
      </c>
      <c r="B24" s="5" t="s">
        <v>307</v>
      </c>
      <c r="C24" s="5" t="s">
        <v>308</v>
      </c>
      <c r="D24" s="5"/>
      <c r="E24" s="5" t="s">
        <v>311</v>
      </c>
    </row>
    <row r="25" customFormat="false" ht="15" hidden="false" customHeight="false" outlineLevel="0" collapsed="false">
      <c r="A25" s="4" t="s">
        <v>107</v>
      </c>
      <c r="B25" s="5" t="s">
        <v>309</v>
      </c>
      <c r="C25" s="5" t="s">
        <v>300</v>
      </c>
      <c r="D25" s="5"/>
      <c r="E25" s="5" t="s">
        <v>302</v>
      </c>
    </row>
    <row r="26" customFormat="false" ht="15" hidden="false" customHeight="false" outlineLevel="0" collapsed="false">
      <c r="A26" s="4" t="s">
        <v>109</v>
      </c>
      <c r="B26" s="5" t="s">
        <v>310</v>
      </c>
      <c r="C26" s="5" t="s">
        <v>308</v>
      </c>
      <c r="D26" s="5"/>
      <c r="E26" s="5" t="s">
        <v>302</v>
      </c>
    </row>
    <row r="27" customFormat="false" ht="15" hidden="false" customHeight="false" outlineLevel="0" collapsed="false">
      <c r="A27" s="4" t="s">
        <v>111</v>
      </c>
      <c r="B27" s="5" t="s">
        <v>312</v>
      </c>
      <c r="C27" s="5" t="s">
        <v>308</v>
      </c>
      <c r="D27" s="5"/>
      <c r="E27" s="5" t="s">
        <v>302</v>
      </c>
    </row>
    <row r="28" customFormat="false" ht="15" hidden="false" customHeight="false" outlineLevel="0" collapsed="false">
      <c r="A28" s="4" t="s">
        <v>113</v>
      </c>
      <c r="B28" s="5" t="s">
        <v>314</v>
      </c>
      <c r="C28" s="5" t="s">
        <v>308</v>
      </c>
      <c r="D28" s="5"/>
      <c r="E28" s="5" t="s">
        <v>305</v>
      </c>
    </row>
    <row r="29" customFormat="false" ht="15" hidden="false" customHeight="false" outlineLevel="0" collapsed="false">
      <c r="A29" s="4" t="s">
        <v>115</v>
      </c>
      <c r="B29" s="5" t="s">
        <v>299</v>
      </c>
      <c r="C29" s="5" t="s">
        <v>300</v>
      </c>
      <c r="D29" s="5" t="s">
        <v>301</v>
      </c>
      <c r="E29" s="5" t="s">
        <v>305</v>
      </c>
    </row>
    <row r="30" customFormat="false" ht="15" hidden="false" customHeight="false" outlineLevel="0" collapsed="false">
      <c r="A30" s="4" t="s">
        <v>117</v>
      </c>
      <c r="B30" s="5" t="s">
        <v>303</v>
      </c>
      <c r="C30" s="5" t="s">
        <v>304</v>
      </c>
      <c r="D30" s="5"/>
      <c r="E30" s="5" t="s">
        <v>305</v>
      </c>
    </row>
    <row r="31" customFormat="false" ht="15" hidden="false" customHeight="false" outlineLevel="0" collapsed="false">
      <c r="A31" s="4" t="s">
        <v>119</v>
      </c>
      <c r="B31" s="5" t="s">
        <v>306</v>
      </c>
      <c r="C31" s="5" t="s">
        <v>304</v>
      </c>
      <c r="D31" s="5"/>
      <c r="E31" s="5" t="s">
        <v>311</v>
      </c>
    </row>
    <row r="32" customFormat="false" ht="15" hidden="false" customHeight="false" outlineLevel="0" collapsed="false">
      <c r="A32" s="4" t="s">
        <v>121</v>
      </c>
      <c r="B32" s="5" t="s">
        <v>307</v>
      </c>
      <c r="C32" s="5" t="s">
        <v>308</v>
      </c>
      <c r="D32" s="5"/>
      <c r="E32" s="5" t="s">
        <v>311</v>
      </c>
    </row>
    <row r="33" customFormat="false" ht="15" hidden="false" customHeight="false" outlineLevel="0" collapsed="false">
      <c r="A33" s="4" t="s">
        <v>123</v>
      </c>
      <c r="B33" s="5" t="s">
        <v>309</v>
      </c>
      <c r="C33" s="5" t="s">
        <v>300</v>
      </c>
      <c r="D33" s="5"/>
      <c r="E33" s="5" t="s">
        <v>302</v>
      </c>
    </row>
    <row r="34" customFormat="false" ht="15" hidden="false" customHeight="false" outlineLevel="0" collapsed="false">
      <c r="A34" s="4" t="s">
        <v>125</v>
      </c>
      <c r="B34" s="5" t="s">
        <v>310</v>
      </c>
      <c r="C34" s="5" t="s">
        <v>308</v>
      </c>
      <c r="D34" s="5"/>
      <c r="E34" s="5" t="s">
        <v>311</v>
      </c>
    </row>
    <row r="35" customFormat="false" ht="15" hidden="false" customHeight="false" outlineLevel="0" collapsed="false">
      <c r="A35" s="4" t="s">
        <v>127</v>
      </c>
      <c r="B35" s="5" t="s">
        <v>312</v>
      </c>
      <c r="C35" s="5" t="s">
        <v>308</v>
      </c>
      <c r="D35" s="5"/>
      <c r="E35" s="5" t="s">
        <v>305</v>
      </c>
    </row>
    <row r="36" customFormat="false" ht="15" hidden="false" customHeight="false" outlineLevel="0" collapsed="false">
      <c r="A36" s="4" t="s">
        <v>129</v>
      </c>
      <c r="B36" s="5" t="s">
        <v>314</v>
      </c>
      <c r="C36" s="5" t="s">
        <v>308</v>
      </c>
      <c r="D36" s="5"/>
      <c r="E36" s="5" t="s">
        <v>302</v>
      </c>
    </row>
    <row r="37" customFormat="false" ht="15" hidden="false" customHeight="false" outlineLevel="0" collapsed="false">
      <c r="A37" s="4" t="s">
        <v>131</v>
      </c>
      <c r="B37" s="5" t="s">
        <v>299</v>
      </c>
      <c r="C37" s="5" t="s">
        <v>300</v>
      </c>
      <c r="D37" s="5" t="s">
        <v>301</v>
      </c>
      <c r="E37" s="5" t="s">
        <v>305</v>
      </c>
    </row>
    <row r="38" customFormat="false" ht="15" hidden="false" customHeight="false" outlineLevel="0" collapsed="false">
      <c r="A38" s="4" t="s">
        <v>133</v>
      </c>
      <c r="B38" s="5" t="s">
        <v>303</v>
      </c>
      <c r="C38" s="5" t="s">
        <v>304</v>
      </c>
      <c r="D38" s="5"/>
      <c r="E38" s="5" t="s">
        <v>311</v>
      </c>
    </row>
    <row r="39" customFormat="false" ht="15" hidden="false" customHeight="false" outlineLevel="0" collapsed="false">
      <c r="A39" s="4" t="s">
        <v>135</v>
      </c>
      <c r="B39" s="5" t="s">
        <v>306</v>
      </c>
      <c r="C39" s="5" t="s">
        <v>304</v>
      </c>
      <c r="D39" s="5"/>
      <c r="E39" s="5" t="s">
        <v>302</v>
      </c>
    </row>
    <row r="40" customFormat="false" ht="15" hidden="false" customHeight="false" outlineLevel="0" collapsed="false">
      <c r="A40" s="4" t="s">
        <v>137</v>
      </c>
      <c r="B40" s="5" t="s">
        <v>307</v>
      </c>
      <c r="C40" s="5" t="s">
        <v>308</v>
      </c>
      <c r="D40" s="5"/>
      <c r="E40" s="5" t="s">
        <v>305</v>
      </c>
    </row>
    <row r="41" customFormat="false" ht="15" hidden="false" customHeight="false" outlineLevel="0" collapsed="false">
      <c r="A41" s="4" t="s">
        <v>139</v>
      </c>
      <c r="B41" s="5" t="s">
        <v>309</v>
      </c>
      <c r="C41" s="5" t="s">
        <v>300</v>
      </c>
      <c r="D41" s="5"/>
      <c r="E41" s="5" t="s">
        <v>302</v>
      </c>
    </row>
    <row r="42" customFormat="false" ht="15" hidden="false" customHeight="false" outlineLevel="0" collapsed="false">
      <c r="A42" s="4" t="s">
        <v>141</v>
      </c>
      <c r="B42" s="5" t="s">
        <v>310</v>
      </c>
      <c r="C42" s="5" t="s">
        <v>308</v>
      </c>
      <c r="D42" s="5"/>
      <c r="E42" s="5" t="s">
        <v>311</v>
      </c>
    </row>
    <row r="43" customFormat="false" ht="15" hidden="false" customHeight="false" outlineLevel="0" collapsed="false">
      <c r="A43" s="4" t="s">
        <v>143</v>
      </c>
      <c r="B43" s="5" t="s">
        <v>312</v>
      </c>
      <c r="C43" s="5" t="s">
        <v>308</v>
      </c>
      <c r="D43" s="5"/>
      <c r="E43" s="5" t="s">
        <v>305</v>
      </c>
    </row>
    <row r="44" customFormat="false" ht="15" hidden="false" customHeight="false" outlineLevel="0" collapsed="false">
      <c r="A44" s="4" t="s">
        <v>145</v>
      </c>
      <c r="B44" s="5" t="s">
        <v>314</v>
      </c>
      <c r="C44" s="5" t="s">
        <v>308</v>
      </c>
      <c r="D44" s="5"/>
      <c r="E44" s="5" t="s">
        <v>311</v>
      </c>
    </row>
    <row r="45" customFormat="false" ht="15" hidden="false" customHeight="false" outlineLevel="0" collapsed="false">
      <c r="A45" s="4" t="s">
        <v>147</v>
      </c>
      <c r="B45" s="5" t="s">
        <v>299</v>
      </c>
      <c r="C45" s="5" t="s">
        <v>300</v>
      </c>
      <c r="D45" s="5" t="s">
        <v>301</v>
      </c>
      <c r="E45" s="5" t="s">
        <v>302</v>
      </c>
    </row>
    <row r="46" customFormat="false" ht="15" hidden="false" customHeight="false" outlineLevel="0" collapsed="false">
      <c r="A46" s="4" t="s">
        <v>149</v>
      </c>
      <c r="B46" s="5" t="s">
        <v>303</v>
      </c>
      <c r="C46" s="5" t="s">
        <v>304</v>
      </c>
      <c r="D46" s="5"/>
      <c r="E46" s="5" t="s">
        <v>302</v>
      </c>
    </row>
    <row r="47" customFormat="false" ht="15" hidden="false" customHeight="false" outlineLevel="0" collapsed="false">
      <c r="A47" s="4" t="s">
        <v>151</v>
      </c>
      <c r="B47" s="5" t="s">
        <v>306</v>
      </c>
      <c r="C47" s="5" t="s">
        <v>304</v>
      </c>
      <c r="D47" s="5"/>
      <c r="E47" s="5" t="s">
        <v>305</v>
      </c>
    </row>
    <row r="48" customFormat="false" ht="15" hidden="false" customHeight="false" outlineLevel="0" collapsed="false">
      <c r="A48" s="4" t="s">
        <v>153</v>
      </c>
      <c r="B48" s="5" t="s">
        <v>307</v>
      </c>
      <c r="C48" s="5" t="s">
        <v>308</v>
      </c>
      <c r="D48" s="5"/>
      <c r="E48" s="5" t="s">
        <v>305</v>
      </c>
    </row>
    <row r="49" customFormat="false" ht="15" hidden="false" customHeight="false" outlineLevel="0" collapsed="false">
      <c r="A49" s="4" t="s">
        <v>155</v>
      </c>
      <c r="B49" s="5" t="s">
        <v>309</v>
      </c>
      <c r="C49" s="5" t="s">
        <v>300</v>
      </c>
      <c r="D49" s="5"/>
      <c r="E49" s="5" t="s">
        <v>311</v>
      </c>
    </row>
    <row r="50" customFormat="false" ht="15" hidden="false" customHeight="false" outlineLevel="0" collapsed="false">
      <c r="A50" s="4" t="s">
        <v>157</v>
      </c>
      <c r="B50" s="5" t="s">
        <v>310</v>
      </c>
      <c r="C50" s="5" t="s">
        <v>308</v>
      </c>
      <c r="D50" s="5"/>
      <c r="E50" s="5" t="s">
        <v>302</v>
      </c>
    </row>
    <row r="51" customFormat="false" ht="15" hidden="false" customHeight="false" outlineLevel="0" collapsed="false">
      <c r="A51" s="4" t="s">
        <v>159</v>
      </c>
      <c r="B51" s="5" t="s">
        <v>312</v>
      </c>
      <c r="C51" s="5" t="s">
        <v>308</v>
      </c>
      <c r="D51" s="5"/>
      <c r="E51" s="5" t="s">
        <v>302</v>
      </c>
    </row>
    <row r="52" customFormat="false" ht="15" hidden="false" customHeight="false" outlineLevel="0" collapsed="false">
      <c r="A52" s="4" t="s">
        <v>161</v>
      </c>
      <c r="B52" s="5" t="s">
        <v>314</v>
      </c>
      <c r="C52" s="5" t="s">
        <v>308</v>
      </c>
      <c r="D52" s="5"/>
      <c r="E52" s="5" t="s">
        <v>302</v>
      </c>
    </row>
    <row r="53" customFormat="false" ht="15" hidden="false" customHeight="false" outlineLevel="0" collapsed="false">
      <c r="A53" s="4" t="s">
        <v>163</v>
      </c>
      <c r="B53" s="5" t="s">
        <v>299</v>
      </c>
      <c r="C53" s="5" t="s">
        <v>300</v>
      </c>
      <c r="D53" s="5" t="s">
        <v>301</v>
      </c>
      <c r="E53" s="5" t="s">
        <v>311</v>
      </c>
    </row>
    <row r="54" customFormat="false" ht="15" hidden="false" customHeight="false" outlineLevel="0" collapsed="false">
      <c r="A54" s="4" t="s">
        <v>165</v>
      </c>
      <c r="B54" s="5" t="s">
        <v>303</v>
      </c>
      <c r="C54" s="5" t="s">
        <v>304</v>
      </c>
      <c r="D54" s="5"/>
      <c r="E54" s="5" t="s">
        <v>311</v>
      </c>
    </row>
    <row r="55" customFormat="false" ht="15" hidden="false" customHeight="false" outlineLevel="0" collapsed="false">
      <c r="A55" s="4" t="s">
        <v>167</v>
      </c>
      <c r="B55" s="5" t="s">
        <v>306</v>
      </c>
      <c r="C55" s="5" t="s">
        <v>304</v>
      </c>
      <c r="D55" s="5"/>
      <c r="E55" s="5" t="s">
        <v>305</v>
      </c>
    </row>
    <row r="56" customFormat="false" ht="15" hidden="false" customHeight="false" outlineLevel="0" collapsed="false">
      <c r="A56" s="4" t="s">
        <v>169</v>
      </c>
      <c r="B56" s="5" t="s">
        <v>307</v>
      </c>
      <c r="C56" s="5" t="s">
        <v>308</v>
      </c>
      <c r="D56" s="5"/>
      <c r="E56" s="5" t="s">
        <v>305</v>
      </c>
    </row>
    <row r="57" customFormat="false" ht="15" hidden="false" customHeight="false" outlineLevel="0" collapsed="false">
      <c r="A57" s="4" t="s">
        <v>171</v>
      </c>
      <c r="B57" s="5" t="s">
        <v>309</v>
      </c>
      <c r="C57" s="5" t="s">
        <v>300</v>
      </c>
      <c r="D57" s="5"/>
      <c r="E57" s="5" t="s">
        <v>305</v>
      </c>
    </row>
    <row r="58" customFormat="false" ht="15" hidden="false" customHeight="false" outlineLevel="0" collapsed="false">
      <c r="A58" s="4" t="s">
        <v>173</v>
      </c>
      <c r="B58" s="5" t="s">
        <v>310</v>
      </c>
      <c r="C58" s="5" t="s">
        <v>308</v>
      </c>
      <c r="D58" s="5"/>
      <c r="E58" s="5" t="s">
        <v>302</v>
      </c>
    </row>
    <row r="59" customFormat="false" ht="15" hidden="false" customHeight="false" outlineLevel="0" collapsed="false">
      <c r="A59" s="4" t="s">
        <v>175</v>
      </c>
      <c r="B59" s="5" t="s">
        <v>312</v>
      </c>
      <c r="C59" s="5" t="s">
        <v>308</v>
      </c>
      <c r="D59" s="5"/>
      <c r="E59" s="5" t="s">
        <v>311</v>
      </c>
    </row>
    <row r="60" customFormat="false" ht="15" hidden="false" customHeight="false" outlineLevel="0" collapsed="false">
      <c r="A60" s="4" t="s">
        <v>177</v>
      </c>
      <c r="B60" s="5" t="s">
        <v>314</v>
      </c>
      <c r="C60" s="5" t="s">
        <v>308</v>
      </c>
      <c r="D60" s="5"/>
      <c r="E60" s="5" t="s">
        <v>305</v>
      </c>
    </row>
    <row r="61" customFormat="false" ht="15" hidden="false" customHeight="false" outlineLevel="0" collapsed="false">
      <c r="A61" s="4" t="s">
        <v>179</v>
      </c>
      <c r="B61" s="5" t="s">
        <v>299</v>
      </c>
      <c r="C61" s="5" t="s">
        <v>300</v>
      </c>
      <c r="D61" s="5" t="s">
        <v>301</v>
      </c>
      <c r="E61" s="5" t="s">
        <v>305</v>
      </c>
    </row>
    <row r="62" customFormat="false" ht="15" hidden="false" customHeight="false" outlineLevel="0" collapsed="false">
      <c r="A62" s="4" t="s">
        <v>181</v>
      </c>
      <c r="B62" s="5" t="s">
        <v>303</v>
      </c>
      <c r="C62" s="5" t="s">
        <v>304</v>
      </c>
      <c r="D62" s="5"/>
      <c r="E62" s="5" t="s">
        <v>302</v>
      </c>
    </row>
    <row r="63" customFormat="false" ht="15" hidden="false" customHeight="false" outlineLevel="0" collapsed="false">
      <c r="A63" s="4" t="s">
        <v>183</v>
      </c>
      <c r="B63" s="5" t="s">
        <v>306</v>
      </c>
      <c r="C63" s="5" t="s">
        <v>304</v>
      </c>
      <c r="D63" s="5"/>
      <c r="E63" s="5" t="s">
        <v>305</v>
      </c>
    </row>
    <row r="64" customFormat="false" ht="15" hidden="false" customHeight="false" outlineLevel="0" collapsed="false">
      <c r="A64" s="4" t="s">
        <v>185</v>
      </c>
      <c r="B64" s="5" t="s">
        <v>307</v>
      </c>
      <c r="C64" s="5" t="s">
        <v>308</v>
      </c>
      <c r="D64" s="5"/>
      <c r="E64" s="5" t="s">
        <v>302</v>
      </c>
    </row>
    <row r="65" customFormat="false" ht="15" hidden="false" customHeight="false" outlineLevel="0" collapsed="false">
      <c r="A65" s="4" t="s">
        <v>187</v>
      </c>
      <c r="B65" s="5" t="s">
        <v>309</v>
      </c>
      <c r="C65" s="5" t="s">
        <v>300</v>
      </c>
      <c r="D65" s="5"/>
      <c r="E65" s="5" t="s">
        <v>305</v>
      </c>
    </row>
    <row r="66" customFormat="false" ht="15" hidden="false" customHeight="false" outlineLevel="0" collapsed="false">
      <c r="A66" s="4" t="s">
        <v>189</v>
      </c>
      <c r="B66" s="5" t="s">
        <v>310</v>
      </c>
      <c r="C66" s="5" t="s">
        <v>308</v>
      </c>
      <c r="D66" s="5"/>
      <c r="E66" s="5" t="s">
        <v>311</v>
      </c>
    </row>
    <row r="67" customFormat="false" ht="15" hidden="false" customHeight="false" outlineLevel="0" collapsed="false">
      <c r="A67" s="4" t="s">
        <v>191</v>
      </c>
      <c r="B67" s="5" t="s">
        <v>312</v>
      </c>
      <c r="C67" s="5" t="s">
        <v>308</v>
      </c>
      <c r="D67" s="5"/>
      <c r="E67" s="5" t="s">
        <v>302</v>
      </c>
    </row>
    <row r="68" customFormat="false" ht="15" hidden="false" customHeight="false" outlineLevel="0" collapsed="false">
      <c r="A68" s="4" t="s">
        <v>193</v>
      </c>
      <c r="B68" s="5" t="s">
        <v>314</v>
      </c>
      <c r="C68" s="5" t="s">
        <v>308</v>
      </c>
      <c r="D68" s="5"/>
      <c r="E68" s="5" t="s">
        <v>305</v>
      </c>
    </row>
    <row r="69" customFormat="false" ht="15" hidden="false" customHeight="false" outlineLevel="0" collapsed="false">
      <c r="A69" s="4" t="s">
        <v>195</v>
      </c>
      <c r="B69" s="5" t="s">
        <v>299</v>
      </c>
      <c r="C69" s="5" t="s">
        <v>300</v>
      </c>
      <c r="D69" s="5" t="s">
        <v>301</v>
      </c>
      <c r="E69" s="5" t="s">
        <v>302</v>
      </c>
    </row>
    <row r="70" customFormat="false" ht="15" hidden="false" customHeight="false" outlineLevel="0" collapsed="false">
      <c r="A70" s="4" t="s">
        <v>197</v>
      </c>
      <c r="B70" s="5" t="s">
        <v>303</v>
      </c>
      <c r="C70" s="5" t="s">
        <v>304</v>
      </c>
      <c r="D70" s="5"/>
      <c r="E70" s="5" t="s">
        <v>305</v>
      </c>
    </row>
    <row r="71" customFormat="false" ht="15" hidden="false" customHeight="false" outlineLevel="0" collapsed="false">
      <c r="A71" s="4" t="s">
        <v>199</v>
      </c>
      <c r="B71" s="5" t="s">
        <v>306</v>
      </c>
      <c r="C71" s="5" t="s">
        <v>304</v>
      </c>
      <c r="D71" s="5"/>
      <c r="E71" s="5" t="s">
        <v>305</v>
      </c>
    </row>
    <row r="72" customFormat="false" ht="15" hidden="false" customHeight="false" outlineLevel="0" collapsed="false">
      <c r="A72" s="4" t="s">
        <v>201</v>
      </c>
      <c r="B72" s="5" t="s">
        <v>307</v>
      </c>
      <c r="C72" s="5" t="s">
        <v>308</v>
      </c>
      <c r="D72" s="5"/>
      <c r="E72" s="5" t="s">
        <v>302</v>
      </c>
    </row>
    <row r="73" customFormat="false" ht="15" hidden="false" customHeight="false" outlineLevel="0" collapsed="false">
      <c r="A73" s="4" t="s">
        <v>203</v>
      </c>
      <c r="B73" s="5" t="s">
        <v>309</v>
      </c>
      <c r="C73" s="5" t="s">
        <v>300</v>
      </c>
      <c r="D73" s="5"/>
      <c r="E73" s="5" t="s">
        <v>302</v>
      </c>
    </row>
    <row r="74" customFormat="false" ht="15" hidden="false" customHeight="false" outlineLevel="0" collapsed="false">
      <c r="A74" s="4" t="s">
        <v>205</v>
      </c>
      <c r="B74" s="5" t="s">
        <v>310</v>
      </c>
      <c r="C74" s="5" t="s">
        <v>308</v>
      </c>
      <c r="D74" s="5"/>
      <c r="E74" s="5" t="s">
        <v>302</v>
      </c>
    </row>
    <row r="75" customFormat="false" ht="15" hidden="false" customHeight="false" outlineLevel="0" collapsed="false">
      <c r="A75" s="4" t="s">
        <v>207</v>
      </c>
      <c r="B75" s="5" t="s">
        <v>312</v>
      </c>
      <c r="C75" s="5" t="s">
        <v>308</v>
      </c>
      <c r="D75" s="5"/>
      <c r="E75" s="5" t="s">
        <v>311</v>
      </c>
    </row>
    <row r="76" customFormat="false" ht="15" hidden="false" customHeight="false" outlineLevel="0" collapsed="false">
      <c r="A76" s="4" t="s">
        <v>209</v>
      </c>
      <c r="B76" s="5" t="s">
        <v>314</v>
      </c>
      <c r="C76" s="5" t="s">
        <v>308</v>
      </c>
      <c r="D76" s="5"/>
      <c r="E76" s="5" t="s">
        <v>305</v>
      </c>
    </row>
    <row r="77" customFormat="false" ht="15" hidden="false" customHeight="false" outlineLevel="0" collapsed="false">
      <c r="A77" s="4" t="s">
        <v>211</v>
      </c>
      <c r="B77" s="5" t="s">
        <v>299</v>
      </c>
      <c r="C77" s="5" t="s">
        <v>300</v>
      </c>
      <c r="D77" s="5" t="s">
        <v>301</v>
      </c>
      <c r="E77" s="5" t="s">
        <v>302</v>
      </c>
    </row>
    <row r="78" customFormat="false" ht="15" hidden="false" customHeight="false" outlineLevel="0" collapsed="false">
      <c r="A78" s="4" t="s">
        <v>213</v>
      </c>
      <c r="B78" s="5" t="s">
        <v>303</v>
      </c>
      <c r="C78" s="5" t="s">
        <v>304</v>
      </c>
      <c r="D78" s="5"/>
      <c r="E78" s="5" t="s">
        <v>311</v>
      </c>
    </row>
    <row r="79" customFormat="false" ht="15" hidden="false" customHeight="false" outlineLevel="0" collapsed="false">
      <c r="A79" s="4" t="s">
        <v>215</v>
      </c>
      <c r="B79" s="5" t="s">
        <v>306</v>
      </c>
      <c r="C79" s="5" t="s">
        <v>304</v>
      </c>
      <c r="D79" s="5"/>
      <c r="E79" s="5" t="s">
        <v>302</v>
      </c>
    </row>
    <row r="80" customFormat="false" ht="15" hidden="false" customHeight="false" outlineLevel="0" collapsed="false">
      <c r="A80" s="4" t="s">
        <v>217</v>
      </c>
      <c r="B80" s="5" t="s">
        <v>307</v>
      </c>
      <c r="C80" s="5" t="s">
        <v>308</v>
      </c>
      <c r="D80" s="5"/>
      <c r="E80" s="5" t="s">
        <v>305</v>
      </c>
    </row>
    <row r="81" customFormat="false" ht="15" hidden="false" customHeight="false" outlineLevel="0" collapsed="false">
      <c r="A81" s="4" t="s">
        <v>219</v>
      </c>
      <c r="B81" s="5" t="s">
        <v>309</v>
      </c>
      <c r="C81" s="5" t="s">
        <v>300</v>
      </c>
      <c r="D81" s="5"/>
      <c r="E81" s="5" t="s">
        <v>302</v>
      </c>
    </row>
    <row r="82" customFormat="false" ht="15" hidden="false" customHeight="false" outlineLevel="0" collapsed="false">
      <c r="A82" s="4" t="s">
        <v>221</v>
      </c>
      <c r="B82" s="5" t="s">
        <v>310</v>
      </c>
      <c r="C82" s="5" t="s">
        <v>308</v>
      </c>
      <c r="D82" s="5"/>
      <c r="E82" s="5" t="s">
        <v>302</v>
      </c>
    </row>
    <row r="83" customFormat="false" ht="15" hidden="false" customHeight="false" outlineLevel="0" collapsed="false">
      <c r="A83" s="4" t="s">
        <v>223</v>
      </c>
      <c r="B83" s="5" t="s">
        <v>312</v>
      </c>
      <c r="C83" s="5" t="s">
        <v>308</v>
      </c>
      <c r="D83" s="5"/>
      <c r="E83" s="5" t="s">
        <v>302</v>
      </c>
    </row>
    <row r="84" customFormat="false" ht="15" hidden="false" customHeight="false" outlineLevel="0" collapsed="false">
      <c r="A84" s="4" t="s">
        <v>225</v>
      </c>
      <c r="B84" s="5" t="s">
        <v>314</v>
      </c>
      <c r="C84" s="5" t="s">
        <v>308</v>
      </c>
      <c r="D84" s="5"/>
      <c r="E84" s="5" t="s">
        <v>305</v>
      </c>
    </row>
    <row r="85" customFormat="false" ht="15" hidden="false" customHeight="false" outlineLevel="0" collapsed="false">
      <c r="A85" s="4" t="s">
        <v>227</v>
      </c>
      <c r="B85" s="5" t="s">
        <v>299</v>
      </c>
      <c r="C85" s="5" t="s">
        <v>300</v>
      </c>
      <c r="D85" s="5" t="s">
        <v>301</v>
      </c>
      <c r="E85" s="5" t="s">
        <v>302</v>
      </c>
    </row>
    <row r="86" customFormat="false" ht="15" hidden="false" customHeight="false" outlineLevel="0" collapsed="false">
      <c r="A86" s="4" t="s">
        <v>229</v>
      </c>
      <c r="B86" s="5" t="s">
        <v>303</v>
      </c>
      <c r="C86" s="5" t="s">
        <v>304</v>
      </c>
      <c r="D86" s="5"/>
      <c r="E86" s="5" t="s">
        <v>305</v>
      </c>
    </row>
    <row r="87" customFormat="false" ht="15" hidden="false" customHeight="false" outlineLevel="0" collapsed="false">
      <c r="A87" s="4" t="s">
        <v>231</v>
      </c>
      <c r="B87" s="5" t="s">
        <v>306</v>
      </c>
      <c r="C87" s="5" t="s">
        <v>304</v>
      </c>
      <c r="D87" s="5"/>
      <c r="E87" s="5" t="s">
        <v>305</v>
      </c>
    </row>
    <row r="88" customFormat="false" ht="15" hidden="false" customHeight="false" outlineLevel="0" collapsed="false">
      <c r="A88" s="4" t="s">
        <v>233</v>
      </c>
      <c r="B88" s="5" t="s">
        <v>307</v>
      </c>
      <c r="C88" s="5" t="s">
        <v>308</v>
      </c>
      <c r="D88" s="5"/>
      <c r="E88" s="5" t="s">
        <v>305</v>
      </c>
    </row>
    <row r="89" customFormat="false" ht="15" hidden="false" customHeight="false" outlineLevel="0" collapsed="false">
      <c r="A89" s="4" t="s">
        <v>235</v>
      </c>
      <c r="B89" s="5" t="s">
        <v>309</v>
      </c>
      <c r="C89" s="5" t="s">
        <v>300</v>
      </c>
      <c r="D89" s="5"/>
      <c r="E89" s="5" t="s">
        <v>311</v>
      </c>
    </row>
    <row r="90" customFormat="false" ht="15" hidden="false" customHeight="false" outlineLevel="0" collapsed="false">
      <c r="A90" s="4" t="s">
        <v>237</v>
      </c>
      <c r="B90" s="5" t="s">
        <v>310</v>
      </c>
      <c r="C90" s="5" t="s">
        <v>308</v>
      </c>
      <c r="D90" s="5"/>
      <c r="E90" s="5" t="s">
        <v>311</v>
      </c>
    </row>
    <row r="91" customFormat="false" ht="15" hidden="false" customHeight="false" outlineLevel="0" collapsed="false">
      <c r="A91" s="4" t="s">
        <v>239</v>
      </c>
      <c r="B91" s="5" t="s">
        <v>312</v>
      </c>
      <c r="C91" s="5" t="s">
        <v>308</v>
      </c>
      <c r="D91" s="5"/>
      <c r="E91" s="5" t="s">
        <v>311</v>
      </c>
    </row>
    <row r="92" customFormat="false" ht="15" hidden="false" customHeight="false" outlineLevel="0" collapsed="false">
      <c r="A92" s="4" t="s">
        <v>241</v>
      </c>
      <c r="B92" s="5" t="s">
        <v>314</v>
      </c>
      <c r="C92" s="5" t="s">
        <v>308</v>
      </c>
      <c r="D92" s="5"/>
      <c r="E92" s="5" t="s">
        <v>302</v>
      </c>
    </row>
    <row r="93" customFormat="false" ht="15" hidden="false" customHeight="false" outlineLevel="0" collapsed="false">
      <c r="A93" s="4" t="s">
        <v>243</v>
      </c>
      <c r="B93" s="5" t="s">
        <v>299</v>
      </c>
      <c r="C93" s="5" t="s">
        <v>300</v>
      </c>
      <c r="D93" s="5" t="s">
        <v>301</v>
      </c>
      <c r="E93" s="5" t="s">
        <v>311</v>
      </c>
    </row>
    <row r="94" customFormat="false" ht="15" hidden="false" customHeight="false" outlineLevel="0" collapsed="false">
      <c r="A94" s="4" t="s">
        <v>245</v>
      </c>
      <c r="B94" s="5" t="s">
        <v>303</v>
      </c>
      <c r="C94" s="5" t="s">
        <v>304</v>
      </c>
      <c r="D94" s="5"/>
      <c r="E94" s="5" t="s">
        <v>305</v>
      </c>
    </row>
    <row r="95" customFormat="false" ht="15" hidden="false" customHeight="false" outlineLevel="0" collapsed="false">
      <c r="A95" s="4" t="s">
        <v>247</v>
      </c>
      <c r="B95" s="5" t="s">
        <v>306</v>
      </c>
      <c r="C95" s="5" t="s">
        <v>304</v>
      </c>
      <c r="D95" s="5"/>
      <c r="E95" s="5" t="s">
        <v>302</v>
      </c>
    </row>
    <row r="96" customFormat="false" ht="15" hidden="false" customHeight="false" outlineLevel="0" collapsed="false">
      <c r="A96" s="4" t="s">
        <v>249</v>
      </c>
      <c r="B96" s="5" t="s">
        <v>307</v>
      </c>
      <c r="C96" s="5" t="s">
        <v>308</v>
      </c>
      <c r="D96" s="5"/>
      <c r="E96" s="5" t="s">
        <v>302</v>
      </c>
    </row>
    <row r="97" customFormat="false" ht="15" hidden="false" customHeight="false" outlineLevel="0" collapsed="false">
      <c r="A97" s="4" t="s">
        <v>251</v>
      </c>
      <c r="B97" s="5" t="s">
        <v>309</v>
      </c>
      <c r="C97" s="5" t="s">
        <v>300</v>
      </c>
      <c r="D97" s="5"/>
      <c r="E97" s="5" t="s">
        <v>302</v>
      </c>
    </row>
    <row r="98" customFormat="false" ht="15" hidden="false" customHeight="false" outlineLevel="0" collapsed="false">
      <c r="A98" s="4" t="s">
        <v>253</v>
      </c>
      <c r="B98" s="5" t="s">
        <v>310</v>
      </c>
      <c r="C98" s="5" t="s">
        <v>308</v>
      </c>
      <c r="D98" s="5"/>
      <c r="E98" s="5" t="s">
        <v>311</v>
      </c>
    </row>
    <row r="99" customFormat="false" ht="15" hidden="false" customHeight="false" outlineLevel="0" collapsed="false">
      <c r="A99" s="4" t="s">
        <v>255</v>
      </c>
      <c r="B99" s="5" t="s">
        <v>312</v>
      </c>
      <c r="C99" s="5" t="s">
        <v>308</v>
      </c>
      <c r="D99" s="5"/>
      <c r="E99" s="5" t="s">
        <v>302</v>
      </c>
    </row>
    <row r="100" customFormat="false" ht="15" hidden="false" customHeight="false" outlineLevel="0" collapsed="false">
      <c r="A100" s="4" t="s">
        <v>257</v>
      </c>
      <c r="B100" s="5" t="s">
        <v>314</v>
      </c>
      <c r="C100" s="5" t="s">
        <v>308</v>
      </c>
      <c r="D100" s="5"/>
      <c r="E100" s="5" t="s">
        <v>302</v>
      </c>
    </row>
    <row r="101" customFormat="false" ht="15" hidden="false" customHeight="false" outlineLevel="0" collapsed="false">
      <c r="A101" s="4" t="s">
        <v>259</v>
      </c>
      <c r="B101" s="5" t="s">
        <v>299</v>
      </c>
      <c r="C101" s="5" t="s">
        <v>300</v>
      </c>
      <c r="D101" s="5" t="s">
        <v>301</v>
      </c>
      <c r="E101" s="5" t="s">
        <v>302</v>
      </c>
    </row>
    <row r="102" customFormat="false" ht="15" hidden="false" customHeight="false" outlineLevel="0" collapsed="false">
      <c r="A102" s="4" t="s">
        <v>261</v>
      </c>
      <c r="B102" s="5" t="s">
        <v>303</v>
      </c>
      <c r="C102" s="5" t="s">
        <v>304</v>
      </c>
      <c r="D102" s="5"/>
      <c r="E102" s="5" t="s">
        <v>305</v>
      </c>
    </row>
    <row r="103" customFormat="false" ht="15" hidden="false" customHeight="false" outlineLevel="0" collapsed="false">
      <c r="A103" s="4" t="s">
        <v>263</v>
      </c>
      <c r="B103" s="5" t="s">
        <v>306</v>
      </c>
      <c r="C103" s="5" t="s">
        <v>304</v>
      </c>
      <c r="D103" s="5"/>
      <c r="E103" s="5" t="s">
        <v>302</v>
      </c>
    </row>
    <row r="104" customFormat="false" ht="15" hidden="false" customHeight="false" outlineLevel="0" collapsed="false">
      <c r="A104" s="4" t="s">
        <v>265</v>
      </c>
      <c r="B104" s="5" t="s">
        <v>307</v>
      </c>
      <c r="C104" s="5" t="s">
        <v>308</v>
      </c>
      <c r="D104" s="5"/>
      <c r="E104" s="5" t="s">
        <v>305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4" min="2" style="0" width="20"/>
  </cols>
  <sheetData>
    <row r="1" customFormat="false" ht="17.35" hidden="false" customHeight="false" outlineLevel="0" collapsed="false">
      <c r="A1" s="1" t="s">
        <v>316</v>
      </c>
    </row>
    <row r="2" customFormat="false" ht="15" hidden="false" customHeight="false" outlineLevel="0" collapsed="false">
      <c r="A2" s="2" t="s">
        <v>317</v>
      </c>
    </row>
    <row r="4" customFormat="false" ht="15" hidden="false" customHeight="false" outlineLevel="0" collapsed="false">
      <c r="A4" s="3" t="s">
        <v>5</v>
      </c>
      <c r="B4" s="3" t="s">
        <v>318</v>
      </c>
      <c r="C4" s="3" t="s">
        <v>319</v>
      </c>
      <c r="D4" s="3" t="s">
        <v>320</v>
      </c>
    </row>
    <row r="5" customFormat="false" ht="15" hidden="false" customHeight="false" outlineLevel="0" collapsed="false">
      <c r="A5" s="4" t="s">
        <v>13</v>
      </c>
      <c r="B5" s="5" t="s">
        <v>321</v>
      </c>
      <c r="C5" s="5" t="s">
        <v>322</v>
      </c>
      <c r="D5" s="5" t="s">
        <v>323</v>
      </c>
    </row>
    <row r="6" customFormat="false" ht="15" hidden="false" customHeight="false" outlineLevel="0" collapsed="false">
      <c r="A6" s="4" t="s">
        <v>21</v>
      </c>
      <c r="B6" s="5" t="s">
        <v>321</v>
      </c>
      <c r="C6" s="5" t="s">
        <v>322</v>
      </c>
      <c r="D6" s="5" t="s">
        <v>323</v>
      </c>
    </row>
    <row r="7" customFormat="false" ht="15" hidden="false" customHeight="false" outlineLevel="0" collapsed="false">
      <c r="A7" s="4" t="s">
        <v>28</v>
      </c>
      <c r="B7" s="5" t="s">
        <v>321</v>
      </c>
      <c r="C7" s="5" t="s">
        <v>322</v>
      </c>
      <c r="D7" s="5" t="s">
        <v>324</v>
      </c>
    </row>
    <row r="8" customFormat="false" ht="15" hidden="false" customHeight="false" outlineLevel="0" collapsed="false">
      <c r="A8" s="4" t="s">
        <v>35</v>
      </c>
      <c r="B8" s="5" t="s">
        <v>321</v>
      </c>
      <c r="C8" s="5" t="s">
        <v>322</v>
      </c>
      <c r="D8" s="5" t="s">
        <v>323</v>
      </c>
    </row>
    <row r="9" customFormat="false" ht="15" hidden="false" customHeight="false" outlineLevel="0" collapsed="false">
      <c r="A9" s="4" t="s">
        <v>43</v>
      </c>
      <c r="B9" s="5" t="s">
        <v>321</v>
      </c>
      <c r="C9" s="5" t="s">
        <v>322</v>
      </c>
      <c r="D9" s="5" t="s">
        <v>324</v>
      </c>
    </row>
    <row r="10" customFormat="false" ht="15" hidden="false" customHeight="false" outlineLevel="0" collapsed="false">
      <c r="A10" s="4" t="s">
        <v>51</v>
      </c>
      <c r="B10" s="5" t="s">
        <v>321</v>
      </c>
      <c r="C10" s="5" t="s">
        <v>322</v>
      </c>
      <c r="D10" s="5" t="s">
        <v>323</v>
      </c>
    </row>
    <row r="11" customFormat="false" ht="15" hidden="false" customHeight="false" outlineLevel="0" collapsed="false">
      <c r="A11" s="4" t="s">
        <v>58</v>
      </c>
      <c r="B11" s="5" t="s">
        <v>321</v>
      </c>
      <c r="C11" s="5" t="s">
        <v>322</v>
      </c>
      <c r="D11" s="5" t="s">
        <v>323</v>
      </c>
    </row>
    <row r="12" customFormat="false" ht="15" hidden="false" customHeight="false" outlineLevel="0" collapsed="false">
      <c r="A12" s="4" t="s">
        <v>64</v>
      </c>
      <c r="B12" s="5" t="s">
        <v>321</v>
      </c>
      <c r="C12" s="5" t="s">
        <v>322</v>
      </c>
      <c r="D12" s="5" t="s">
        <v>324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2026-06-23T04:18:51Z</dcterms:created>
  <dc:creator>openpyxl</dc:creator>
  <dc:description/>
  <dc:language>en-US</dc:language>
  <cp:lastModifiedBy/>
  <dcterms:modified xsi:type="dcterms:W3CDTF">2026-06-23T04:18:51Z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
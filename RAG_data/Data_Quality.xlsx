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mpleteness" sheetId="2" state="visible" r:id="rId4"/>
    <sheet name="Accuracy" sheetId="3" state="visible" r:id="rId5"/>
    <sheet name="Timeliness" sheetId="4" state="visible" r:id="rId6"/>
    <sheet name="Lineage" sheetId="5" state="visible" r:id="rId7"/>
    <sheet name="DQ_Issue_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<sst xmlns="http://schemas.openxmlformats.org/spreadsheetml/2006/main" count="1858" uniqueCount="360">
  <si>
    <t xml:space="preserve">Data Quality Assessment</t>
  </si>
  <si>
    <t xml:space="preserve">Feed-level and model-level DQ scoring across the AML monitoring estate</t>
  </si>
  <si>
    <t xml:space="preserve">Model</t>
  </si>
  <si>
    <t xml:space="preserve">Code</t>
  </si>
  <si>
    <t xml:space="preserve">Typology</t>
  </si>
  <si>
    <t xml:space="preserve">Family</t>
  </si>
  <si>
    <t xml:space="preserve">Booking Entity</t>
  </si>
  <si>
    <t xml:space="preserve">Segment</t>
  </si>
  <si>
    <t xml:space="preserve">Owner</t>
  </si>
  <si>
    <t xml:space="preserve">Lifecycle Status</t>
  </si>
  <si>
    <t xml:space="preserve">Model 1</t>
  </si>
  <si>
    <t xml:space="preserve">TM-STR-001</t>
  </si>
  <si>
    <t xml:space="preserve">Structuring</t>
  </si>
  <si>
    <t xml:space="preserve">Structuring Detection Family</t>
  </si>
  <si>
    <t xml:space="preserve">Entity A</t>
  </si>
  <si>
    <t xml:space="preserve">Retail</t>
  </si>
  <si>
    <t xml:space="preserve">A. Kowalski</t>
  </si>
  <si>
    <t xml:space="preserve">Production</t>
  </si>
  <si>
    <t xml:space="preserve">Model 2</t>
  </si>
  <si>
    <t xml:space="preserve">TM-RMF-002</t>
  </si>
  <si>
    <t xml:space="preserve">Rapid Movement of Funds</t>
  </si>
  <si>
    <t xml:space="preserve">Rapid-Movement Family</t>
  </si>
  <si>
    <t xml:space="preserve">Entity B</t>
  </si>
  <si>
    <t xml:space="preserve">SME</t>
  </si>
  <si>
    <t xml:space="preserve">B. Nowak</t>
  </si>
  <si>
    <t xml:space="preserve">Model 3</t>
  </si>
  <si>
    <t xml:space="preserve">TM-GEO-003</t>
  </si>
  <si>
    <t xml:space="preserve">High-Risk Jurisdiction</t>
  </si>
  <si>
    <t xml:space="preserve">Geographic-Risk Family</t>
  </si>
  <si>
    <t xml:space="preserve">Entity C</t>
  </si>
  <si>
    <t xml:space="preserve">Corporate</t>
  </si>
  <si>
    <t xml:space="preserve">C. Lewandowska</t>
  </si>
  <si>
    <t xml:space="preserve">Model 4</t>
  </si>
  <si>
    <t xml:space="preserve">TM-CASH-004</t>
  </si>
  <si>
    <t xml:space="preserve">Cash-Intensive Business</t>
  </si>
  <si>
    <t xml:space="preserve">Cash-Anomaly Family</t>
  </si>
  <si>
    <t xml:space="preserve">Entity D</t>
  </si>
  <si>
    <t xml:space="preserve">Private Banking</t>
  </si>
  <si>
    <t xml:space="preserve">D. Wójcik</t>
  </si>
  <si>
    <t xml:space="preserve">Tuning</t>
  </si>
  <si>
    <t xml:space="preserve">Model 5</t>
  </si>
  <si>
    <t xml:space="preserve">TM-TBML-005</t>
  </si>
  <si>
    <t xml:space="preserve">Trade-Based ML</t>
  </si>
  <si>
    <t xml:space="preserve">Trade-Based Family</t>
  </si>
  <si>
    <t xml:space="preserve">Entity E</t>
  </si>
  <si>
    <t xml:space="preserve">Correspondent</t>
  </si>
  <si>
    <t xml:space="preserve">E. Kamiński</t>
  </si>
  <si>
    <t xml:space="preserve">Validation</t>
  </si>
  <si>
    <t xml:space="preserve">Model 6</t>
  </si>
  <si>
    <t xml:space="preserve">TM-BEHAV-006</t>
  </si>
  <si>
    <t xml:space="preserve">Dormant Reactivation</t>
  </si>
  <si>
    <t xml:space="preserve">Behavioural-Anomaly Family</t>
  </si>
  <si>
    <t xml:space="preserve">Entity F</t>
  </si>
  <si>
    <t xml:space="preserve">F. Zielińska</t>
  </si>
  <si>
    <t xml:space="preserve">Decommissioning</t>
  </si>
  <si>
    <t xml:space="preserve">Model 7</t>
  </si>
  <si>
    <t xml:space="preserve">TM-CRYPTO-007</t>
  </si>
  <si>
    <t xml:space="preserve">Round-Amount Transactions</t>
  </si>
  <si>
    <t xml:space="preserve">Virtual-Asset Family</t>
  </si>
  <si>
    <t xml:space="preserve">Entity G</t>
  </si>
  <si>
    <t xml:space="preserve">G. Szymański</t>
  </si>
  <si>
    <t xml:space="preserve">Model 8</t>
  </si>
  <si>
    <t xml:space="preserve">TM-NETWORK-008</t>
  </si>
  <si>
    <t xml:space="preserve">Velocity Anomaly</t>
  </si>
  <si>
    <t xml:space="preserve">Network-Linkage Family</t>
  </si>
  <si>
    <t xml:space="preserve">Entity H</t>
  </si>
  <si>
    <t xml:space="preserve">H. Woźniak</t>
  </si>
  <si>
    <t xml:space="preserve">Model 9</t>
  </si>
  <si>
    <t xml:space="preserve">TM-STR-009</t>
  </si>
  <si>
    <t xml:space="preserve">Threshold Avoidance</t>
  </si>
  <si>
    <t xml:space="preserve">Entity I</t>
  </si>
  <si>
    <t xml:space="preserve">I. Dąbrowski</t>
  </si>
  <si>
    <t xml:space="preserve">Model 10</t>
  </si>
  <si>
    <t xml:space="preserve">TM-RMF-010</t>
  </si>
  <si>
    <t xml:space="preserve">Funnel Account</t>
  </si>
  <si>
    <t xml:space="preserve">Entity J</t>
  </si>
  <si>
    <t xml:space="preserve">J. Kozłowska</t>
  </si>
  <si>
    <t xml:space="preserve">Model 11</t>
  </si>
  <si>
    <t xml:space="preserve">TM-GEO-011</t>
  </si>
  <si>
    <t xml:space="preserve">Mule Account Behaviour</t>
  </si>
  <si>
    <t xml:space="preserve">Model 12</t>
  </si>
  <si>
    <t xml:space="preserve">TM-CASH-012</t>
  </si>
  <si>
    <t xml:space="preserve">PEP Activity</t>
  </si>
  <si>
    <t xml:space="preserve">Model 13</t>
  </si>
  <si>
    <t xml:space="preserve">TM-TBML-013</t>
  </si>
  <si>
    <t xml:space="preserve">Sanctions Proximity</t>
  </si>
  <si>
    <t xml:space="preserve">Model 14</t>
  </si>
  <si>
    <t xml:space="preserve">TM-BEHAV-014</t>
  </si>
  <si>
    <t xml:space="preserve">Crypto On/Off-Ramp</t>
  </si>
  <si>
    <t xml:space="preserve">Model 15</t>
  </si>
  <si>
    <t xml:space="preserve">TM-CRYPTO-015</t>
  </si>
  <si>
    <t xml:space="preserve">Nested Correspondent</t>
  </si>
  <si>
    <t xml:space="preserve">Model 16</t>
  </si>
  <si>
    <t xml:space="preserve">TM-NETWORK-016</t>
  </si>
  <si>
    <t xml:space="preserve">Shell Company Flow</t>
  </si>
  <si>
    <t xml:space="preserve">Model 17</t>
  </si>
  <si>
    <t xml:space="preserve">TM-STR-017</t>
  </si>
  <si>
    <t xml:space="preserve">Smurfing Network</t>
  </si>
  <si>
    <t xml:space="preserve">Model 18</t>
  </si>
  <si>
    <t xml:space="preserve">TM-RMF-018</t>
  </si>
  <si>
    <t xml:space="preserve">Wire Stripping</t>
  </si>
  <si>
    <t xml:space="preserve">Model 19</t>
  </si>
  <si>
    <t xml:space="preserve">TM-GEO-019</t>
  </si>
  <si>
    <t xml:space="preserve">ATM Cycling</t>
  </si>
  <si>
    <t xml:space="preserve">Model 20</t>
  </si>
  <si>
    <t xml:space="preserve">TM-CASH-020</t>
  </si>
  <si>
    <t xml:space="preserve">Layering via Securities</t>
  </si>
  <si>
    <t xml:space="preserve">Model 21</t>
  </si>
  <si>
    <t xml:space="preserve">TM-TBML-021</t>
  </si>
  <si>
    <t xml:space="preserve">Model 22</t>
  </si>
  <si>
    <t xml:space="preserve">TM-BEHAV-022</t>
  </si>
  <si>
    <t xml:space="preserve">Model 23</t>
  </si>
  <si>
    <t xml:space="preserve">TM-CRYPTO-023</t>
  </si>
  <si>
    <t xml:space="preserve">Model 24</t>
  </si>
  <si>
    <t xml:space="preserve">TM-NETWORK-024</t>
  </si>
  <si>
    <t xml:space="preserve">Model 25</t>
  </si>
  <si>
    <t xml:space="preserve">TM-STR-025</t>
  </si>
  <si>
    <t xml:space="preserve">Model 26</t>
  </si>
  <si>
    <t xml:space="preserve">TM-RMF-026</t>
  </si>
  <si>
    <t xml:space="preserve">Model 27</t>
  </si>
  <si>
    <t xml:space="preserve">TM-GEO-027</t>
  </si>
  <si>
    <t xml:space="preserve">Model 28</t>
  </si>
  <si>
    <t xml:space="preserve">TM-CASH-028</t>
  </si>
  <si>
    <t xml:space="preserve">Model 29</t>
  </si>
  <si>
    <t xml:space="preserve">TM-TBML-029</t>
  </si>
  <si>
    <t xml:space="preserve">Model 30</t>
  </si>
  <si>
    <t xml:space="preserve">TM-BEHAV-030</t>
  </si>
  <si>
    <t xml:space="preserve">Model 31</t>
  </si>
  <si>
    <t xml:space="preserve">TM-CRYPTO-031</t>
  </si>
  <si>
    <t xml:space="preserve">Model 32</t>
  </si>
  <si>
    <t xml:space="preserve">TM-NETWORK-032</t>
  </si>
  <si>
    <t xml:space="preserve">Model 33</t>
  </si>
  <si>
    <t xml:space="preserve">TM-STR-033</t>
  </si>
  <si>
    <t xml:space="preserve">Model 34</t>
  </si>
  <si>
    <t xml:space="preserve">TM-RMF-034</t>
  </si>
  <si>
    <t xml:space="preserve">Model 35</t>
  </si>
  <si>
    <t xml:space="preserve">TM-GEO-035</t>
  </si>
  <si>
    <t xml:space="preserve">Model 36</t>
  </si>
  <si>
    <t xml:space="preserve">TM-CASH-036</t>
  </si>
  <si>
    <t xml:space="preserve">Model 37</t>
  </si>
  <si>
    <t xml:space="preserve">TM-TBML-037</t>
  </si>
  <si>
    <t xml:space="preserve">Model 38</t>
  </si>
  <si>
    <t xml:space="preserve">TM-BEHAV-038</t>
  </si>
  <si>
    <t xml:space="preserve">Model 39</t>
  </si>
  <si>
    <t xml:space="preserve">TM-CRYPTO-039</t>
  </si>
  <si>
    <t xml:space="preserve">Model 40</t>
  </si>
  <si>
    <t xml:space="preserve">TM-NETWORK-040</t>
  </si>
  <si>
    <t xml:space="preserve">Model 41</t>
  </si>
  <si>
    <t xml:space="preserve">TM-STR-041</t>
  </si>
  <si>
    <t xml:space="preserve">Model 42</t>
  </si>
  <si>
    <t xml:space="preserve">TM-RMF-042</t>
  </si>
  <si>
    <t xml:space="preserve">Model 43</t>
  </si>
  <si>
    <t xml:space="preserve">TM-GEO-043</t>
  </si>
  <si>
    <t xml:space="preserve">Model 44</t>
  </si>
  <si>
    <t xml:space="preserve">TM-CASH-044</t>
  </si>
  <si>
    <t xml:space="preserve">Model 45</t>
  </si>
  <si>
    <t xml:space="preserve">TM-TBML-045</t>
  </si>
  <si>
    <t xml:space="preserve">Model 46</t>
  </si>
  <si>
    <t xml:space="preserve">TM-BEHAV-046</t>
  </si>
  <si>
    <t xml:space="preserve">Model 47</t>
  </si>
  <si>
    <t xml:space="preserve">TM-CRYPTO-047</t>
  </si>
  <si>
    <t xml:space="preserve">Model 48</t>
  </si>
  <si>
    <t xml:space="preserve">TM-NETWORK-048</t>
  </si>
  <si>
    <t xml:space="preserve">Model 49</t>
  </si>
  <si>
    <t xml:space="preserve">TM-STR-049</t>
  </si>
  <si>
    <t xml:space="preserve">Model 50</t>
  </si>
  <si>
    <t xml:space="preserve">TM-RMF-050</t>
  </si>
  <si>
    <t xml:space="preserve">Model 51</t>
  </si>
  <si>
    <t xml:space="preserve">TM-GEO-051</t>
  </si>
  <si>
    <t xml:space="preserve">Model 52</t>
  </si>
  <si>
    <t xml:space="preserve">TM-CASH-052</t>
  </si>
  <si>
    <t xml:space="preserve">Model 53</t>
  </si>
  <si>
    <t xml:space="preserve">TM-TBML-053</t>
  </si>
  <si>
    <t xml:space="preserve">Model 54</t>
  </si>
  <si>
    <t xml:space="preserve">TM-BEHAV-054</t>
  </si>
  <si>
    <t xml:space="preserve">Model 55</t>
  </si>
  <si>
    <t xml:space="preserve">TM-CRYPTO-055</t>
  </si>
  <si>
    <t xml:space="preserve">Model 56</t>
  </si>
  <si>
    <t xml:space="preserve">TM-NETWORK-056</t>
  </si>
  <si>
    <t xml:space="preserve">Model 57</t>
  </si>
  <si>
    <t xml:space="preserve">TM-STR-057</t>
  </si>
  <si>
    <t xml:space="preserve">Model 58</t>
  </si>
  <si>
    <t xml:space="preserve">TM-RMF-058</t>
  </si>
  <si>
    <t xml:space="preserve">Model 59</t>
  </si>
  <si>
    <t xml:space="preserve">TM-GEO-059</t>
  </si>
  <si>
    <t xml:space="preserve">Model 60</t>
  </si>
  <si>
    <t xml:space="preserve">TM-CASH-060</t>
  </si>
  <si>
    <t xml:space="preserve">Model 61</t>
  </si>
  <si>
    <t xml:space="preserve">TM-TBML-061</t>
  </si>
  <si>
    <t xml:space="preserve">Model 62</t>
  </si>
  <si>
    <t xml:space="preserve">TM-BEHAV-062</t>
  </si>
  <si>
    <t xml:space="preserve">Model 63</t>
  </si>
  <si>
    <t xml:space="preserve">TM-CRYPTO-063</t>
  </si>
  <si>
    <t xml:space="preserve">Model 64</t>
  </si>
  <si>
    <t xml:space="preserve">TM-NETWORK-064</t>
  </si>
  <si>
    <t xml:space="preserve">Model 65</t>
  </si>
  <si>
    <t xml:space="preserve">TM-STR-065</t>
  </si>
  <si>
    <t xml:space="preserve">Model 66</t>
  </si>
  <si>
    <t xml:space="preserve">TM-RMF-066</t>
  </si>
  <si>
    <t xml:space="preserve">Model 67</t>
  </si>
  <si>
    <t xml:space="preserve">TM-GEO-067</t>
  </si>
  <si>
    <t xml:space="preserve">Model 68</t>
  </si>
  <si>
    <t xml:space="preserve">TM-CASH-068</t>
  </si>
  <si>
    <t xml:space="preserve">Model 69</t>
  </si>
  <si>
    <t xml:space="preserve">TM-TBML-069</t>
  </si>
  <si>
    <t xml:space="preserve">Model 70</t>
  </si>
  <si>
    <t xml:space="preserve">TM-BEHAV-070</t>
  </si>
  <si>
    <t xml:space="preserve">Model 71</t>
  </si>
  <si>
    <t xml:space="preserve">TM-CRYPTO-071</t>
  </si>
  <si>
    <t xml:space="preserve">Model 72</t>
  </si>
  <si>
    <t xml:space="preserve">TM-NETWORK-072</t>
  </si>
  <si>
    <t xml:space="preserve">Model 73</t>
  </si>
  <si>
    <t xml:space="preserve">TM-STR-073</t>
  </si>
  <si>
    <t xml:space="preserve">Model 74</t>
  </si>
  <si>
    <t xml:space="preserve">TM-RMF-074</t>
  </si>
  <si>
    <t xml:space="preserve">Model 75</t>
  </si>
  <si>
    <t xml:space="preserve">TM-GEO-075</t>
  </si>
  <si>
    <t xml:space="preserve">Model 76</t>
  </si>
  <si>
    <t xml:space="preserve">TM-CASH-076</t>
  </si>
  <si>
    <t xml:space="preserve">Model 77</t>
  </si>
  <si>
    <t xml:space="preserve">TM-TBML-077</t>
  </si>
  <si>
    <t xml:space="preserve">Model 78</t>
  </si>
  <si>
    <t xml:space="preserve">TM-BEHAV-078</t>
  </si>
  <si>
    <t xml:space="preserve">Model 79</t>
  </si>
  <si>
    <t xml:space="preserve">TM-CRYPTO-079</t>
  </si>
  <si>
    <t xml:space="preserve">Model 80</t>
  </si>
  <si>
    <t xml:space="preserve">TM-NETWORK-080</t>
  </si>
  <si>
    <t xml:space="preserve">Model 81</t>
  </si>
  <si>
    <t xml:space="preserve">TM-STR-081</t>
  </si>
  <si>
    <t xml:space="preserve">Model 82</t>
  </si>
  <si>
    <t xml:space="preserve">TM-RMF-082</t>
  </si>
  <si>
    <t xml:space="preserve">Model 83</t>
  </si>
  <si>
    <t xml:space="preserve">TM-GEO-083</t>
  </si>
  <si>
    <t xml:space="preserve">Model 84</t>
  </si>
  <si>
    <t xml:space="preserve">TM-CASH-084</t>
  </si>
  <si>
    <t xml:space="preserve">Model 85</t>
  </si>
  <si>
    <t xml:space="preserve">TM-TBML-085</t>
  </si>
  <si>
    <t xml:space="preserve">Model 86</t>
  </si>
  <si>
    <t xml:space="preserve">TM-BEHAV-086</t>
  </si>
  <si>
    <t xml:space="preserve">Model 87</t>
  </si>
  <si>
    <t xml:space="preserve">TM-CRYPTO-087</t>
  </si>
  <si>
    <t xml:space="preserve">Model 88</t>
  </si>
  <si>
    <t xml:space="preserve">TM-NETWORK-088</t>
  </si>
  <si>
    <t xml:space="preserve">Model 89</t>
  </si>
  <si>
    <t xml:space="preserve">TM-STR-089</t>
  </si>
  <si>
    <t xml:space="preserve">Model 90</t>
  </si>
  <si>
    <t xml:space="preserve">TM-RMF-090</t>
  </si>
  <si>
    <t xml:space="preserve">Model 91</t>
  </si>
  <si>
    <t xml:space="preserve">TM-GEO-091</t>
  </si>
  <si>
    <t xml:space="preserve">Model 92</t>
  </si>
  <si>
    <t xml:space="preserve">TM-CASH-092</t>
  </si>
  <si>
    <t xml:space="preserve">Model 93</t>
  </si>
  <si>
    <t xml:space="preserve">TM-TBML-093</t>
  </si>
  <si>
    <t xml:space="preserve">Model 94</t>
  </si>
  <si>
    <t xml:space="preserve">TM-BEHAV-094</t>
  </si>
  <si>
    <t xml:space="preserve">Model 95</t>
  </si>
  <si>
    <t xml:space="preserve">TM-CRYPTO-095</t>
  </si>
  <si>
    <t xml:space="preserve">Model 96</t>
  </si>
  <si>
    <t xml:space="preserve">TM-NETWORK-096</t>
  </si>
  <si>
    <t xml:space="preserve">Model 97</t>
  </si>
  <si>
    <t xml:space="preserve">TM-STR-097</t>
  </si>
  <si>
    <t xml:space="preserve">Model 98</t>
  </si>
  <si>
    <t xml:space="preserve">TM-RMF-098</t>
  </si>
  <si>
    <t xml:space="preserve">Model 99</t>
  </si>
  <si>
    <t xml:space="preserve">TM-GEO-099</t>
  </si>
  <si>
    <t xml:space="preserve">Model 100</t>
  </si>
  <si>
    <t xml:space="preserve">TM-CASH-100</t>
  </si>
  <si>
    <t xml:space="preserve">Completeness</t>
  </si>
  <si>
    <t xml:space="preserve">Completeness = Populated / Expected records (formula).</t>
  </si>
  <si>
    <t xml:space="preserve">Expected Records</t>
  </si>
  <si>
    <t xml:space="preserve">Populated Records</t>
  </si>
  <si>
    <t xml:space="preserve">DQ Flag</t>
  </si>
  <si>
    <t xml:space="preserve">Accuracy</t>
  </si>
  <si>
    <t xml:space="preserve">Accuracy = (Records - Failed Validation) / Records (formula).</t>
  </si>
  <si>
    <t xml:space="preserve">Records Checked</t>
  </si>
  <si>
    <t xml:space="preserve">Failed Validation</t>
  </si>
  <si>
    <t xml:space="preserve">Timeliness</t>
  </si>
  <si>
    <t xml:space="preserve">On-time feed delivery against SLA cut-off.</t>
  </si>
  <si>
    <t xml:space="preserve">Feeds Expected</t>
  </si>
  <si>
    <t xml:space="preserve">Feeds On-Time</t>
  </si>
  <si>
    <t xml:space="preserve">On-Time Rate</t>
  </si>
  <si>
    <t xml:space="preserve">Avg Delay (hrs)</t>
  </si>
  <si>
    <t xml:space="preserve">Data Lineage</t>
  </si>
  <si>
    <t xml:space="preserve">Upstream source systems and feed mapping per model.</t>
  </si>
  <si>
    <t xml:space="preserve">Primary Source System</t>
  </si>
  <si>
    <t xml:space="preserve">Secondary Feed</t>
  </si>
  <si>
    <t xml:space="preserve">Feed Frequency</t>
  </si>
  <si>
    <t xml:space="preserve">Steward</t>
  </si>
  <si>
    <t xml:space="preserve">CoreBanking-T24</t>
  </si>
  <si>
    <t xml:space="preserve">PaymentsHub-SWIFT</t>
  </si>
  <si>
    <t xml:space="preserve">Real-time</t>
  </si>
  <si>
    <t xml:space="preserve">CardSwitch</t>
  </si>
  <si>
    <t xml:space="preserve">Intraday</t>
  </si>
  <si>
    <t xml:space="preserve">TradeFinance-CTS</t>
  </si>
  <si>
    <t xml:space="preserve">Daily Batch</t>
  </si>
  <si>
    <t xml:space="preserve">CryptoGateway</t>
  </si>
  <si>
    <t xml:space="preserve">Weekly Batch</t>
  </si>
  <si>
    <t xml:space="preserve">KYC-Master</t>
  </si>
  <si>
    <t xml:space="preserve">Sanctions-Screening</t>
  </si>
  <si>
    <t xml:space="preserve">Data Quality Issue Log</t>
  </si>
  <si>
    <t xml:space="preserve">Open and closed DQ issues. CR-002 addresses the Entity-C completeness gap.</t>
  </si>
  <si>
    <t xml:space="preserve">Issue ID</t>
  </si>
  <si>
    <t xml:space="preserve">Source System</t>
  </si>
  <si>
    <t xml:space="preserve">Issue Description</t>
  </si>
  <si>
    <t xml:space="preserve">Status</t>
  </si>
  <si>
    <t xml:space="preserve">Linked CR</t>
  </si>
  <si>
    <t xml:space="preserve">DQ-001</t>
  </si>
  <si>
    <t xml:space="preserve">Null counterparty IDs in feed</t>
  </si>
  <si>
    <t xml:space="preserve">Open</t>
  </si>
  <si>
    <t xml:space="preserve">DQ-002</t>
  </si>
  <si>
    <t xml:space="preserve">Duplicate transaction records</t>
  </si>
  <si>
    <t xml:space="preserve">Closed</t>
  </si>
  <si>
    <t xml:space="preserve">DQ-003</t>
  </si>
  <si>
    <t xml:space="preserve">Late feed beyond SLA cut-off</t>
  </si>
  <si>
    <t xml:space="preserve">In Progress</t>
  </si>
  <si>
    <t xml:space="preserve">DQ-004</t>
  </si>
  <si>
    <t xml:space="preserve">Currency code mismatch</t>
  </si>
  <si>
    <t xml:space="preserve">DQ-005</t>
  </si>
  <si>
    <t xml:space="preserve">Truncated narrative field</t>
  </si>
  <si>
    <t xml:space="preserve">DQ-006</t>
  </si>
  <si>
    <t xml:space="preserve">Stale reference data</t>
  </si>
  <si>
    <t xml:space="preserve">DQ-007</t>
  </si>
  <si>
    <t xml:space="preserve">Missing originator country on cross-border wires</t>
  </si>
  <si>
    <t xml:space="preserve">DQ-008</t>
  </si>
  <si>
    <t xml:space="preserve">DQ-009</t>
  </si>
  <si>
    <t xml:space="preserve">DQ-010</t>
  </si>
  <si>
    <t xml:space="preserve">DQ-011</t>
  </si>
  <si>
    <t xml:space="preserve">DQ-012</t>
  </si>
  <si>
    <t xml:space="preserve">DQ-013</t>
  </si>
  <si>
    <t xml:space="preserve">DQ-014</t>
  </si>
  <si>
    <t xml:space="preserve">DQ-015</t>
  </si>
  <si>
    <t xml:space="preserve">DQ-016</t>
  </si>
  <si>
    <t xml:space="preserve">DQ-017</t>
  </si>
  <si>
    <t xml:space="preserve">DQ-018</t>
  </si>
  <si>
    <t xml:space="preserve">DQ-019</t>
  </si>
  <si>
    <t xml:space="preserve">DQ-020</t>
  </si>
  <si>
    <t xml:space="preserve">DQ-021</t>
  </si>
  <si>
    <t xml:space="preserve">DQ-022</t>
  </si>
  <si>
    <t xml:space="preserve">DQ-023</t>
  </si>
  <si>
    <t xml:space="preserve">DQ-024</t>
  </si>
  <si>
    <t xml:space="preserve">DQ-025</t>
  </si>
  <si>
    <t xml:space="preserve">DQ-026</t>
  </si>
  <si>
    <t xml:space="preserve">DQ-027</t>
  </si>
  <si>
    <t xml:space="preserve">DQ-028</t>
  </si>
  <si>
    <t xml:space="preserve">DQ-029</t>
  </si>
  <si>
    <t xml:space="preserve">DQ-030</t>
  </si>
  <si>
    <t xml:space="preserve">DQ-031</t>
  </si>
  <si>
    <t xml:space="preserve">DQ-032</t>
  </si>
  <si>
    <t xml:space="preserve">DQ-033</t>
  </si>
  <si>
    <t xml:space="preserve">DQ-034</t>
  </si>
  <si>
    <t xml:space="preserve">DQ-035</t>
  </si>
  <si>
    <t xml:space="preserve">DQ-036</t>
  </si>
  <si>
    <t xml:space="preserve">DQ-037</t>
  </si>
  <si>
    <t xml:space="preserve">DQ-038</t>
  </si>
  <si>
    <t xml:space="preserve">DQ-039</t>
  </si>
  <si>
    <t xml:space="preserve">DQ-040</t>
  </si>
  <si>
    <t xml:space="preserve">DQ-041</t>
  </si>
  <si>
    <t xml:space="preserve">Originator data dropped on 4.2% of SWIFT MT103 feeds</t>
  </si>
  <si>
    <t xml:space="preserve">CR-002</t>
  </si>
  <si>
    <t xml:space="preserve">DQ-042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</si>
</sst>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15" hidden="false" customHeight="false" outlineLevel="0" collapsed="false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17</v>
      </c>
    </row>
    <row r="7" customFormat="false" ht="15" hidden="false" customHeight="false" outlineLevel="0" collapsed="false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</v>
      </c>
    </row>
    <row r="8" customFormat="false" ht="15" hidden="false" customHeight="false" outlineLevel="0" collapsed="false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</row>
    <row r="9" customFormat="false" ht="15" hidden="false" customHeight="false" outlineLevel="0" collapsed="false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</row>
    <row r="10" customFormat="false" ht="15" hidden="false" customHeight="false" outlineLevel="0" collapsed="false">
      <c r="A10" s="4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15</v>
      </c>
      <c r="G10" s="5" t="s">
        <v>53</v>
      </c>
      <c r="H10" s="5" t="s">
        <v>54</v>
      </c>
    </row>
    <row r="11" customFormat="false" ht="15" hidden="false" customHeight="false" outlineLevel="0" collapsed="false">
      <c r="A11" s="4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23</v>
      </c>
      <c r="G11" s="5" t="s">
        <v>60</v>
      </c>
      <c r="H11" s="5" t="s">
        <v>17</v>
      </c>
    </row>
    <row r="12" customFormat="false" ht="15" hidden="false" customHeight="false" outlineLevel="0" collapsed="false">
      <c r="A12" s="4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30</v>
      </c>
      <c r="G12" s="5" t="s">
        <v>66</v>
      </c>
      <c r="H12" s="5" t="s">
        <v>17</v>
      </c>
    </row>
    <row r="13" customFormat="false" ht="15" hidden="false" customHeight="false" outlineLevel="0" collapsed="false">
      <c r="A13" s="4" t="s">
        <v>67</v>
      </c>
      <c r="B13" s="5" t="s">
        <v>68</v>
      </c>
      <c r="C13" s="5" t="s">
        <v>69</v>
      </c>
      <c r="D13" s="5" t="s">
        <v>13</v>
      </c>
      <c r="E13" s="5" t="s">
        <v>70</v>
      </c>
      <c r="F13" s="5" t="s">
        <v>37</v>
      </c>
      <c r="G13" s="5" t="s">
        <v>71</v>
      </c>
      <c r="H13" s="5" t="s">
        <v>17</v>
      </c>
    </row>
    <row r="14" customFormat="false" ht="15" hidden="false" customHeight="false" outlineLevel="0" collapsed="false">
      <c r="A14" s="4" t="s">
        <v>72</v>
      </c>
      <c r="B14" s="5" t="s">
        <v>73</v>
      </c>
      <c r="C14" s="5" t="s">
        <v>74</v>
      </c>
      <c r="D14" s="5" t="s">
        <v>21</v>
      </c>
      <c r="E14" s="5" t="s">
        <v>75</v>
      </c>
      <c r="F14" s="5" t="s">
        <v>45</v>
      </c>
      <c r="G14" s="5" t="s">
        <v>76</v>
      </c>
      <c r="H14" s="5" t="s">
        <v>39</v>
      </c>
    </row>
    <row r="15" customFormat="false" ht="15" hidden="false" customHeight="false" outlineLevel="0" collapsed="false">
      <c r="A15" s="4" t="s">
        <v>77</v>
      </c>
      <c r="B15" s="5" t="s">
        <v>78</v>
      </c>
      <c r="C15" s="5" t="s">
        <v>79</v>
      </c>
      <c r="D15" s="5" t="s">
        <v>28</v>
      </c>
      <c r="E15" s="5" t="s">
        <v>14</v>
      </c>
      <c r="F15" s="5" t="s">
        <v>15</v>
      </c>
      <c r="G15" s="5" t="s">
        <v>16</v>
      </c>
      <c r="H15" s="5" t="s">
        <v>47</v>
      </c>
    </row>
    <row r="16" customFormat="false" ht="15" hidden="false" customHeight="false" outlineLevel="0" collapsed="false">
      <c r="A16" s="4" t="s">
        <v>80</v>
      </c>
      <c r="B16" s="5" t="s">
        <v>81</v>
      </c>
      <c r="C16" s="5" t="s">
        <v>82</v>
      </c>
      <c r="D16" s="5" t="s">
        <v>35</v>
      </c>
      <c r="E16" s="5" t="s">
        <v>22</v>
      </c>
      <c r="F16" s="5" t="s">
        <v>23</v>
      </c>
      <c r="G16" s="5" t="s">
        <v>24</v>
      </c>
      <c r="H16" s="5" t="s">
        <v>54</v>
      </c>
    </row>
    <row r="17" customFormat="false" ht="15" hidden="false" customHeight="false" outlineLevel="0" collapsed="false">
      <c r="A17" s="4" t="s">
        <v>83</v>
      </c>
      <c r="B17" s="5" t="s">
        <v>84</v>
      </c>
      <c r="C17" s="5" t="s">
        <v>85</v>
      </c>
      <c r="D17" s="5" t="s">
        <v>43</v>
      </c>
      <c r="E17" s="5" t="s">
        <v>29</v>
      </c>
      <c r="F17" s="5" t="s">
        <v>30</v>
      </c>
      <c r="G17" s="5" t="s">
        <v>31</v>
      </c>
      <c r="H17" s="5" t="s">
        <v>17</v>
      </c>
    </row>
    <row r="18" customFormat="false" ht="15" hidden="false" customHeight="false" outlineLevel="0" collapsed="false">
      <c r="A18" s="4" t="s">
        <v>86</v>
      </c>
      <c r="B18" s="5" t="s">
        <v>87</v>
      </c>
      <c r="C18" s="5" t="s">
        <v>88</v>
      </c>
      <c r="D18" s="5" t="s">
        <v>51</v>
      </c>
      <c r="E18" s="5" t="s">
        <v>36</v>
      </c>
      <c r="F18" s="5" t="s">
        <v>37</v>
      </c>
      <c r="G18" s="5" t="s">
        <v>38</v>
      </c>
      <c r="H18" s="5" t="s">
        <v>17</v>
      </c>
    </row>
    <row r="19" customFormat="false" ht="15" hidden="false" customHeight="false" outlineLevel="0" collapsed="false">
      <c r="A19" s="4" t="s">
        <v>89</v>
      </c>
      <c r="B19" s="5" t="s">
        <v>90</v>
      </c>
      <c r="C19" s="5" t="s">
        <v>91</v>
      </c>
      <c r="D19" s="5" t="s">
        <v>58</v>
      </c>
      <c r="E19" s="5" t="s">
        <v>44</v>
      </c>
      <c r="F19" s="5" t="s">
        <v>45</v>
      </c>
      <c r="G19" s="5" t="s">
        <v>46</v>
      </c>
      <c r="H19" s="5" t="s">
        <v>17</v>
      </c>
    </row>
    <row r="20" customFormat="false" ht="15" hidden="false" customHeight="false" outlineLevel="0" collapsed="false">
      <c r="A20" s="4" t="s">
        <v>92</v>
      </c>
      <c r="B20" s="5" t="s">
        <v>93</v>
      </c>
      <c r="C20" s="5" t="s">
        <v>94</v>
      </c>
      <c r="D20" s="5" t="s">
        <v>64</v>
      </c>
      <c r="E20" s="5" t="s">
        <v>52</v>
      </c>
      <c r="F20" s="5" t="s">
        <v>15</v>
      </c>
      <c r="G20" s="5" t="s">
        <v>53</v>
      </c>
      <c r="H20" s="5" t="s">
        <v>39</v>
      </c>
    </row>
    <row r="21" customFormat="false" ht="15" hidden="false" customHeight="false" outlineLevel="0" collapsed="false">
      <c r="A21" s="4" t="s">
        <v>95</v>
      </c>
      <c r="B21" s="5" t="s">
        <v>96</v>
      </c>
      <c r="C21" s="5" t="s">
        <v>97</v>
      </c>
      <c r="D21" s="5" t="s">
        <v>13</v>
      </c>
      <c r="E21" s="5" t="s">
        <v>59</v>
      </c>
      <c r="F21" s="5" t="s">
        <v>23</v>
      </c>
      <c r="G21" s="5" t="s">
        <v>60</v>
      </c>
      <c r="H21" s="5" t="s">
        <v>47</v>
      </c>
    </row>
    <row r="22" customFormat="false" ht="15" hidden="false" customHeight="false" outlineLevel="0" collapsed="false">
      <c r="A22" s="4" t="s">
        <v>98</v>
      </c>
      <c r="B22" s="5" t="s">
        <v>99</v>
      </c>
      <c r="C22" s="5" t="s">
        <v>100</v>
      </c>
      <c r="D22" s="5" t="s">
        <v>21</v>
      </c>
      <c r="E22" s="5" t="s">
        <v>65</v>
      </c>
      <c r="F22" s="5" t="s">
        <v>30</v>
      </c>
      <c r="G22" s="5" t="s">
        <v>66</v>
      </c>
      <c r="H22" s="5" t="s">
        <v>54</v>
      </c>
    </row>
    <row r="23" customFormat="false" ht="15" hidden="false" customHeight="false" outlineLevel="0" collapsed="false">
      <c r="A23" s="4" t="s">
        <v>101</v>
      </c>
      <c r="B23" s="5" t="s">
        <v>102</v>
      </c>
      <c r="C23" s="5" t="s">
        <v>103</v>
      </c>
      <c r="D23" s="5" t="s">
        <v>28</v>
      </c>
      <c r="E23" s="5" t="s">
        <v>70</v>
      </c>
      <c r="F23" s="5" t="s">
        <v>37</v>
      </c>
      <c r="G23" s="5" t="s">
        <v>71</v>
      </c>
      <c r="H23" s="5" t="s">
        <v>17</v>
      </c>
    </row>
    <row r="24" customFormat="false" ht="15" hidden="false" customHeight="false" outlineLevel="0" collapsed="false">
      <c r="A24" s="4" t="s">
        <v>104</v>
      </c>
      <c r="B24" s="5" t="s">
        <v>105</v>
      </c>
      <c r="C24" s="5" t="s">
        <v>106</v>
      </c>
      <c r="D24" s="5" t="s">
        <v>35</v>
      </c>
      <c r="E24" s="5" t="s">
        <v>75</v>
      </c>
      <c r="F24" s="5" t="s">
        <v>45</v>
      </c>
      <c r="G24" s="5" t="s">
        <v>76</v>
      </c>
      <c r="H24" s="5" t="s">
        <v>17</v>
      </c>
    </row>
    <row r="25" customFormat="false" ht="15" hidden="false" customHeight="false" outlineLevel="0" collapsed="false">
      <c r="A25" s="4" t="s">
        <v>107</v>
      </c>
      <c r="B25" s="5" t="s">
        <v>108</v>
      </c>
      <c r="C25" s="5" t="s">
        <v>12</v>
      </c>
      <c r="D25" s="5" t="s">
        <v>43</v>
      </c>
      <c r="E25" s="5" t="s">
        <v>14</v>
      </c>
      <c r="F25" s="5" t="s">
        <v>15</v>
      </c>
      <c r="G25" s="5" t="s">
        <v>16</v>
      </c>
      <c r="H25" s="5" t="s">
        <v>17</v>
      </c>
    </row>
    <row r="26" customFormat="false" ht="15" hidden="false" customHeight="false" outlineLevel="0" collapsed="false">
      <c r="A26" s="4" t="s">
        <v>109</v>
      </c>
      <c r="B26" s="5" t="s">
        <v>110</v>
      </c>
      <c r="C26" s="5" t="s">
        <v>20</v>
      </c>
      <c r="D26" s="5" t="s">
        <v>51</v>
      </c>
      <c r="E26" s="5" t="s">
        <v>22</v>
      </c>
      <c r="F26" s="5" t="s">
        <v>23</v>
      </c>
      <c r="G26" s="5" t="s">
        <v>24</v>
      </c>
      <c r="H26" s="5" t="s">
        <v>39</v>
      </c>
    </row>
    <row r="27" customFormat="false" ht="15" hidden="false" customHeight="false" outlineLevel="0" collapsed="false">
      <c r="A27" s="4" t="s">
        <v>111</v>
      </c>
      <c r="B27" s="5" t="s">
        <v>112</v>
      </c>
      <c r="C27" s="5" t="s">
        <v>27</v>
      </c>
      <c r="D27" s="5" t="s">
        <v>58</v>
      </c>
      <c r="E27" s="5" t="s">
        <v>29</v>
      </c>
      <c r="F27" s="5" t="s">
        <v>30</v>
      </c>
      <c r="G27" s="5" t="s">
        <v>31</v>
      </c>
      <c r="H27" s="5" t="s">
        <v>47</v>
      </c>
    </row>
    <row r="28" customFormat="false" ht="15" hidden="false" customHeight="false" outlineLevel="0" collapsed="false">
      <c r="A28" s="4" t="s">
        <v>113</v>
      </c>
      <c r="B28" s="5" t="s">
        <v>114</v>
      </c>
      <c r="C28" s="5" t="s">
        <v>34</v>
      </c>
      <c r="D28" s="5" t="s">
        <v>64</v>
      </c>
      <c r="E28" s="5" t="s">
        <v>36</v>
      </c>
      <c r="F28" s="5" t="s">
        <v>37</v>
      </c>
      <c r="G28" s="5" t="s">
        <v>38</v>
      </c>
      <c r="H28" s="5" t="s">
        <v>54</v>
      </c>
    </row>
    <row r="29" customFormat="false" ht="15" hidden="false" customHeight="false" outlineLevel="0" collapsed="false">
      <c r="A29" s="4" t="s">
        <v>115</v>
      </c>
      <c r="B29" s="5" t="s">
        <v>116</v>
      </c>
      <c r="C29" s="5" t="s">
        <v>42</v>
      </c>
      <c r="D29" s="5" t="s">
        <v>13</v>
      </c>
      <c r="E29" s="5" t="s">
        <v>44</v>
      </c>
      <c r="F29" s="5" t="s">
        <v>45</v>
      </c>
      <c r="G29" s="5" t="s">
        <v>46</v>
      </c>
      <c r="H29" s="5" t="s">
        <v>17</v>
      </c>
    </row>
    <row r="30" customFormat="false" ht="15" hidden="false" customHeight="false" outlineLevel="0" collapsed="false">
      <c r="A30" s="4" t="s">
        <v>117</v>
      </c>
      <c r="B30" s="5" t="s">
        <v>118</v>
      </c>
      <c r="C30" s="5" t="s">
        <v>50</v>
      </c>
      <c r="D30" s="5" t="s">
        <v>21</v>
      </c>
      <c r="E30" s="5" t="s">
        <v>52</v>
      </c>
      <c r="F30" s="5" t="s">
        <v>15</v>
      </c>
      <c r="G30" s="5" t="s">
        <v>53</v>
      </c>
      <c r="H30" s="5" t="s">
        <v>17</v>
      </c>
    </row>
    <row r="31" customFormat="false" ht="15" hidden="false" customHeight="false" outlineLevel="0" collapsed="false">
      <c r="A31" s="4" t="s">
        <v>119</v>
      </c>
      <c r="B31" s="5" t="s">
        <v>120</v>
      </c>
      <c r="C31" s="5" t="s">
        <v>57</v>
      </c>
      <c r="D31" s="5" t="s">
        <v>28</v>
      </c>
      <c r="E31" s="5" t="s">
        <v>59</v>
      </c>
      <c r="F31" s="5" t="s">
        <v>23</v>
      </c>
      <c r="G31" s="5" t="s">
        <v>60</v>
      </c>
      <c r="H31" s="5" t="s">
        <v>17</v>
      </c>
    </row>
    <row r="32" customFormat="false" ht="15" hidden="false" customHeight="false" outlineLevel="0" collapsed="false">
      <c r="A32" s="4" t="s">
        <v>121</v>
      </c>
      <c r="B32" s="5" t="s">
        <v>122</v>
      </c>
      <c r="C32" s="5" t="s">
        <v>63</v>
      </c>
      <c r="D32" s="5" t="s">
        <v>35</v>
      </c>
      <c r="E32" s="5" t="s">
        <v>65</v>
      </c>
      <c r="F32" s="5" t="s">
        <v>30</v>
      </c>
      <c r="G32" s="5" t="s">
        <v>66</v>
      </c>
      <c r="H32" s="5" t="s">
        <v>39</v>
      </c>
    </row>
    <row r="33" customFormat="false" ht="15" hidden="false" customHeight="false" outlineLevel="0" collapsed="false">
      <c r="A33" s="4" t="s">
        <v>123</v>
      </c>
      <c r="B33" s="5" t="s">
        <v>124</v>
      </c>
      <c r="C33" s="5" t="s">
        <v>69</v>
      </c>
      <c r="D33" s="5" t="s">
        <v>43</v>
      </c>
      <c r="E33" s="5" t="s">
        <v>70</v>
      </c>
      <c r="F33" s="5" t="s">
        <v>37</v>
      </c>
      <c r="G33" s="5" t="s">
        <v>71</v>
      </c>
      <c r="H33" s="5" t="s">
        <v>47</v>
      </c>
    </row>
    <row r="34" customFormat="false" ht="15" hidden="false" customHeight="false" outlineLevel="0" collapsed="false">
      <c r="A34" s="4" t="s">
        <v>125</v>
      </c>
      <c r="B34" s="5" t="s">
        <v>126</v>
      </c>
      <c r="C34" s="5" t="s">
        <v>74</v>
      </c>
      <c r="D34" s="5" t="s">
        <v>51</v>
      </c>
      <c r="E34" s="5" t="s">
        <v>75</v>
      </c>
      <c r="F34" s="5" t="s">
        <v>45</v>
      </c>
      <c r="G34" s="5" t="s">
        <v>76</v>
      </c>
      <c r="H34" s="5" t="s">
        <v>54</v>
      </c>
    </row>
    <row r="35" customFormat="false" ht="15" hidden="false" customHeight="false" outlineLevel="0" collapsed="false">
      <c r="A35" s="4" t="s">
        <v>127</v>
      </c>
      <c r="B35" s="5" t="s">
        <v>128</v>
      </c>
      <c r="C35" s="5" t="s">
        <v>79</v>
      </c>
      <c r="D35" s="5" t="s">
        <v>58</v>
      </c>
      <c r="E35" s="5" t="s">
        <v>14</v>
      </c>
      <c r="F35" s="5" t="s">
        <v>15</v>
      </c>
      <c r="G35" s="5" t="s">
        <v>16</v>
      </c>
      <c r="H35" s="5" t="s">
        <v>17</v>
      </c>
    </row>
    <row r="36" customFormat="false" ht="15" hidden="false" customHeight="false" outlineLevel="0" collapsed="false">
      <c r="A36" s="4" t="s">
        <v>129</v>
      </c>
      <c r="B36" s="5" t="s">
        <v>130</v>
      </c>
      <c r="C36" s="5" t="s">
        <v>82</v>
      </c>
      <c r="D36" s="5" t="s">
        <v>64</v>
      </c>
      <c r="E36" s="5" t="s">
        <v>22</v>
      </c>
      <c r="F36" s="5" t="s">
        <v>23</v>
      </c>
      <c r="G36" s="5" t="s">
        <v>24</v>
      </c>
      <c r="H36" s="5" t="s">
        <v>17</v>
      </c>
    </row>
    <row r="37" customFormat="false" ht="15" hidden="false" customHeight="false" outlineLevel="0" collapsed="false">
      <c r="A37" s="4" t="s">
        <v>131</v>
      </c>
      <c r="B37" s="5" t="s">
        <v>132</v>
      </c>
      <c r="C37" s="5" t="s">
        <v>85</v>
      </c>
      <c r="D37" s="5" t="s">
        <v>13</v>
      </c>
      <c r="E37" s="5" t="s">
        <v>29</v>
      </c>
      <c r="F37" s="5" t="s">
        <v>30</v>
      </c>
      <c r="G37" s="5" t="s">
        <v>31</v>
      </c>
      <c r="H37" s="5" t="s">
        <v>17</v>
      </c>
    </row>
    <row r="38" customFormat="false" ht="15" hidden="false" customHeight="false" outlineLevel="0" collapsed="false">
      <c r="A38" s="4" t="s">
        <v>133</v>
      </c>
      <c r="B38" s="5" t="s">
        <v>134</v>
      </c>
      <c r="C38" s="5" t="s">
        <v>88</v>
      </c>
      <c r="D38" s="5" t="s">
        <v>21</v>
      </c>
      <c r="E38" s="5" t="s">
        <v>36</v>
      </c>
      <c r="F38" s="5" t="s">
        <v>37</v>
      </c>
      <c r="G38" s="5" t="s">
        <v>38</v>
      </c>
      <c r="H38" s="5" t="s">
        <v>39</v>
      </c>
    </row>
    <row r="39" customFormat="false" ht="15" hidden="false" customHeight="false" outlineLevel="0" collapsed="false">
      <c r="A39" s="4" t="s">
        <v>135</v>
      </c>
      <c r="B39" s="5" t="s">
        <v>136</v>
      </c>
      <c r="C39" s="5" t="s">
        <v>91</v>
      </c>
      <c r="D39" s="5" t="s">
        <v>28</v>
      </c>
      <c r="E39" s="5" t="s">
        <v>44</v>
      </c>
      <c r="F39" s="5" t="s">
        <v>45</v>
      </c>
      <c r="G39" s="5" t="s">
        <v>46</v>
      </c>
      <c r="H39" s="5" t="s">
        <v>47</v>
      </c>
    </row>
    <row r="40" customFormat="false" ht="15" hidden="false" customHeight="false" outlineLevel="0" collapsed="false">
      <c r="A40" s="4" t="s">
        <v>137</v>
      </c>
      <c r="B40" s="5" t="s">
        <v>138</v>
      </c>
      <c r="C40" s="5" t="s">
        <v>94</v>
      </c>
      <c r="D40" s="5" t="s">
        <v>35</v>
      </c>
      <c r="E40" s="5" t="s">
        <v>52</v>
      </c>
      <c r="F40" s="5" t="s">
        <v>15</v>
      </c>
      <c r="G40" s="5" t="s">
        <v>53</v>
      </c>
      <c r="H40" s="5" t="s">
        <v>54</v>
      </c>
    </row>
    <row r="41" customFormat="false" ht="15" hidden="false" customHeight="false" outlineLevel="0" collapsed="false">
      <c r="A41" s="4" t="s">
        <v>139</v>
      </c>
      <c r="B41" s="5" t="s">
        <v>140</v>
      </c>
      <c r="C41" s="5" t="s">
        <v>97</v>
      </c>
      <c r="D41" s="5" t="s">
        <v>43</v>
      </c>
      <c r="E41" s="5" t="s">
        <v>59</v>
      </c>
      <c r="F41" s="5" t="s">
        <v>23</v>
      </c>
      <c r="G41" s="5" t="s">
        <v>60</v>
      </c>
      <c r="H41" s="5" t="s">
        <v>17</v>
      </c>
    </row>
    <row r="42" customFormat="false" ht="15" hidden="false" customHeight="false" outlineLevel="0" collapsed="false">
      <c r="A42" s="4" t="s">
        <v>141</v>
      </c>
      <c r="B42" s="5" t="s">
        <v>142</v>
      </c>
      <c r="C42" s="5" t="s">
        <v>100</v>
      </c>
      <c r="D42" s="5" t="s">
        <v>51</v>
      </c>
      <c r="E42" s="5" t="s">
        <v>65</v>
      </c>
      <c r="F42" s="5" t="s">
        <v>30</v>
      </c>
      <c r="G42" s="5" t="s">
        <v>66</v>
      </c>
      <c r="H42" s="5" t="s">
        <v>17</v>
      </c>
    </row>
    <row r="43" customFormat="false" ht="15" hidden="false" customHeight="false" outlineLevel="0" collapsed="false">
      <c r="A43" s="4" t="s">
        <v>143</v>
      </c>
      <c r="B43" s="5" t="s">
        <v>144</v>
      </c>
      <c r="C43" s="5" t="s">
        <v>103</v>
      </c>
      <c r="D43" s="5" t="s">
        <v>58</v>
      </c>
      <c r="E43" s="5" t="s">
        <v>70</v>
      </c>
      <c r="F43" s="5" t="s">
        <v>37</v>
      </c>
      <c r="G43" s="5" t="s">
        <v>71</v>
      </c>
      <c r="H43" s="5" t="s">
        <v>17</v>
      </c>
    </row>
    <row r="44" customFormat="false" ht="15" hidden="false" customHeight="false" outlineLevel="0" collapsed="false">
      <c r="A44" s="4" t="s">
        <v>145</v>
      </c>
      <c r="B44" s="5" t="s">
        <v>146</v>
      </c>
      <c r="C44" s="5" t="s">
        <v>106</v>
      </c>
      <c r="D44" s="5" t="s">
        <v>64</v>
      </c>
      <c r="E44" s="5" t="s">
        <v>75</v>
      </c>
      <c r="F44" s="5" t="s">
        <v>45</v>
      </c>
      <c r="G44" s="5" t="s">
        <v>76</v>
      </c>
      <c r="H44" s="5" t="s">
        <v>39</v>
      </c>
    </row>
    <row r="45" customFormat="false" ht="15" hidden="false" customHeight="false" outlineLevel="0" collapsed="false">
      <c r="A45" s="4" t="s">
        <v>147</v>
      </c>
      <c r="B45" s="5" t="s">
        <v>148</v>
      </c>
      <c r="C45" s="5" t="s">
        <v>12</v>
      </c>
      <c r="D45" s="5" t="s">
        <v>13</v>
      </c>
      <c r="E45" s="5" t="s">
        <v>14</v>
      </c>
      <c r="F45" s="5" t="s">
        <v>15</v>
      </c>
      <c r="G45" s="5" t="s">
        <v>16</v>
      </c>
      <c r="H45" s="5" t="s">
        <v>47</v>
      </c>
    </row>
    <row r="46" customFormat="false" ht="15" hidden="false" customHeight="false" outlineLevel="0" collapsed="false">
      <c r="A46" s="4" t="s">
        <v>149</v>
      </c>
      <c r="B46" s="5" t="s">
        <v>150</v>
      </c>
      <c r="C46" s="5" t="s">
        <v>20</v>
      </c>
      <c r="D46" s="5" t="s">
        <v>21</v>
      </c>
      <c r="E46" s="5" t="s">
        <v>22</v>
      </c>
      <c r="F46" s="5" t="s">
        <v>23</v>
      </c>
      <c r="G46" s="5" t="s">
        <v>24</v>
      </c>
      <c r="H46" s="5" t="s">
        <v>54</v>
      </c>
    </row>
    <row r="47" customFormat="false" ht="15" hidden="false" customHeight="false" outlineLevel="0" collapsed="false">
      <c r="A47" s="4" t="s">
        <v>151</v>
      </c>
      <c r="B47" s="5" t="s">
        <v>152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</v>
      </c>
    </row>
    <row r="48" customFormat="false" ht="15" hidden="false" customHeight="false" outlineLevel="0" collapsed="false">
      <c r="A48" s="4" t="s">
        <v>153</v>
      </c>
      <c r="B48" s="5" t="s">
        <v>154</v>
      </c>
      <c r="C48" s="5" t="s">
        <v>34</v>
      </c>
      <c r="D48" s="5" t="s">
        <v>35</v>
      </c>
      <c r="E48" s="5" t="s">
        <v>36</v>
      </c>
      <c r="F48" s="5" t="s">
        <v>37</v>
      </c>
      <c r="G48" s="5" t="s">
        <v>38</v>
      </c>
      <c r="H48" s="5" t="s">
        <v>17</v>
      </c>
    </row>
    <row r="49" customFormat="false" ht="15" hidden="false" customHeight="false" outlineLevel="0" collapsed="false">
      <c r="A49" s="4" t="s">
        <v>155</v>
      </c>
      <c r="B49" s="5" t="s">
        <v>156</v>
      </c>
      <c r="C49" s="5" t="s">
        <v>42</v>
      </c>
      <c r="D49" s="5" t="s">
        <v>43</v>
      </c>
      <c r="E49" s="5" t="s">
        <v>44</v>
      </c>
      <c r="F49" s="5" t="s">
        <v>45</v>
      </c>
      <c r="G49" s="5" t="s">
        <v>46</v>
      </c>
      <c r="H49" s="5" t="s">
        <v>17</v>
      </c>
    </row>
    <row r="50" customFormat="false" ht="15" hidden="false" customHeight="false" outlineLevel="0" collapsed="false">
      <c r="A50" s="4" t="s">
        <v>157</v>
      </c>
      <c r="B50" s="5" t="s">
        <v>158</v>
      </c>
      <c r="C50" s="5" t="s">
        <v>50</v>
      </c>
      <c r="D50" s="5" t="s">
        <v>51</v>
      </c>
      <c r="E50" s="5" t="s">
        <v>52</v>
      </c>
      <c r="F50" s="5" t="s">
        <v>15</v>
      </c>
      <c r="G50" s="5" t="s">
        <v>53</v>
      </c>
      <c r="H50" s="5" t="s">
        <v>39</v>
      </c>
    </row>
    <row r="51" customFormat="false" ht="15" hidden="false" customHeight="false" outlineLevel="0" collapsed="false">
      <c r="A51" s="4" t="s">
        <v>159</v>
      </c>
      <c r="B51" s="5" t="s">
        <v>160</v>
      </c>
      <c r="C51" s="5" t="s">
        <v>57</v>
      </c>
      <c r="D51" s="5" t="s">
        <v>58</v>
      </c>
      <c r="E51" s="5" t="s">
        <v>59</v>
      </c>
      <c r="F51" s="5" t="s">
        <v>23</v>
      </c>
      <c r="G51" s="5" t="s">
        <v>60</v>
      </c>
      <c r="H51" s="5" t="s">
        <v>47</v>
      </c>
    </row>
    <row r="52" customFormat="false" ht="15" hidden="false" customHeight="false" outlineLevel="0" collapsed="false">
      <c r="A52" s="4" t="s">
        <v>161</v>
      </c>
      <c r="B52" s="5" t="s">
        <v>162</v>
      </c>
      <c r="C52" s="5" t="s">
        <v>63</v>
      </c>
      <c r="D52" s="5" t="s">
        <v>64</v>
      </c>
      <c r="E52" s="5" t="s">
        <v>65</v>
      </c>
      <c r="F52" s="5" t="s">
        <v>30</v>
      </c>
      <c r="G52" s="5" t="s">
        <v>66</v>
      </c>
      <c r="H52" s="5" t="s">
        <v>54</v>
      </c>
    </row>
    <row r="53" customFormat="false" ht="15" hidden="false" customHeight="false" outlineLevel="0" collapsed="false">
      <c r="A53" s="4" t="s">
        <v>163</v>
      </c>
      <c r="B53" s="5" t="s">
        <v>164</v>
      </c>
      <c r="C53" s="5" t="s">
        <v>69</v>
      </c>
      <c r="D53" s="5" t="s">
        <v>13</v>
      </c>
      <c r="E53" s="5" t="s">
        <v>70</v>
      </c>
      <c r="F53" s="5" t="s">
        <v>37</v>
      </c>
      <c r="G53" s="5" t="s">
        <v>71</v>
      </c>
      <c r="H53" s="5" t="s">
        <v>17</v>
      </c>
    </row>
    <row r="54" customFormat="false" ht="15" hidden="false" customHeight="false" outlineLevel="0" collapsed="false">
      <c r="A54" s="4" t="s">
        <v>165</v>
      </c>
      <c r="B54" s="5" t="s">
        <v>166</v>
      </c>
      <c r="C54" s="5" t="s">
        <v>74</v>
      </c>
      <c r="D54" s="5" t="s">
        <v>21</v>
      </c>
      <c r="E54" s="5" t="s">
        <v>75</v>
      </c>
      <c r="F54" s="5" t="s">
        <v>45</v>
      </c>
      <c r="G54" s="5" t="s">
        <v>76</v>
      </c>
      <c r="H54" s="5" t="s">
        <v>17</v>
      </c>
    </row>
    <row r="55" customFormat="false" ht="15" hidden="false" customHeight="false" outlineLevel="0" collapsed="false">
      <c r="A55" s="4" t="s">
        <v>167</v>
      </c>
      <c r="B55" s="5" t="s">
        <v>168</v>
      </c>
      <c r="C55" s="5" t="s">
        <v>79</v>
      </c>
      <c r="D55" s="5" t="s">
        <v>28</v>
      </c>
      <c r="E55" s="5" t="s">
        <v>14</v>
      </c>
      <c r="F55" s="5" t="s">
        <v>15</v>
      </c>
      <c r="G55" s="5" t="s">
        <v>16</v>
      </c>
      <c r="H55" s="5" t="s">
        <v>17</v>
      </c>
    </row>
    <row r="56" customFormat="false" ht="15" hidden="false" customHeight="false" outlineLevel="0" collapsed="false">
      <c r="A56" s="4" t="s">
        <v>169</v>
      </c>
      <c r="B56" s="5" t="s">
        <v>170</v>
      </c>
      <c r="C56" s="5" t="s">
        <v>82</v>
      </c>
      <c r="D56" s="5" t="s">
        <v>35</v>
      </c>
      <c r="E56" s="5" t="s">
        <v>22</v>
      </c>
      <c r="F56" s="5" t="s">
        <v>23</v>
      </c>
      <c r="G56" s="5" t="s">
        <v>24</v>
      </c>
      <c r="H56" s="5" t="s">
        <v>39</v>
      </c>
    </row>
    <row r="57" customFormat="false" ht="15" hidden="false" customHeight="false" outlineLevel="0" collapsed="false">
      <c r="A57" s="4" t="s">
        <v>171</v>
      </c>
      <c r="B57" s="5" t="s">
        <v>172</v>
      </c>
      <c r="C57" s="5" t="s">
        <v>85</v>
      </c>
      <c r="D57" s="5" t="s">
        <v>43</v>
      </c>
      <c r="E57" s="5" t="s">
        <v>29</v>
      </c>
      <c r="F57" s="5" t="s">
        <v>30</v>
      </c>
      <c r="G57" s="5" t="s">
        <v>31</v>
      </c>
      <c r="H57" s="5" t="s">
        <v>47</v>
      </c>
    </row>
    <row r="58" customFormat="false" ht="15" hidden="false" customHeight="false" outlineLevel="0" collapsed="false">
      <c r="A58" s="4" t="s">
        <v>173</v>
      </c>
      <c r="B58" s="5" t="s">
        <v>174</v>
      </c>
      <c r="C58" s="5" t="s">
        <v>88</v>
      </c>
      <c r="D58" s="5" t="s">
        <v>51</v>
      </c>
      <c r="E58" s="5" t="s">
        <v>36</v>
      </c>
      <c r="F58" s="5" t="s">
        <v>37</v>
      </c>
      <c r="G58" s="5" t="s">
        <v>38</v>
      </c>
      <c r="H58" s="5" t="s">
        <v>54</v>
      </c>
    </row>
    <row r="59" customFormat="false" ht="15" hidden="false" customHeight="false" outlineLevel="0" collapsed="false">
      <c r="A59" s="4" t="s">
        <v>175</v>
      </c>
      <c r="B59" s="5" t="s">
        <v>176</v>
      </c>
      <c r="C59" s="5" t="s">
        <v>91</v>
      </c>
      <c r="D59" s="5" t="s">
        <v>58</v>
      </c>
      <c r="E59" s="5" t="s">
        <v>44</v>
      </c>
      <c r="F59" s="5" t="s">
        <v>45</v>
      </c>
      <c r="G59" s="5" t="s">
        <v>46</v>
      </c>
      <c r="H59" s="5" t="s">
        <v>17</v>
      </c>
    </row>
    <row r="60" customFormat="false" ht="15" hidden="false" customHeight="false" outlineLevel="0" collapsed="false">
      <c r="A60" s="4" t="s">
        <v>177</v>
      </c>
      <c r="B60" s="5" t="s">
        <v>178</v>
      </c>
      <c r="C60" s="5" t="s">
        <v>94</v>
      </c>
      <c r="D60" s="5" t="s">
        <v>64</v>
      </c>
      <c r="E60" s="5" t="s">
        <v>52</v>
      </c>
      <c r="F60" s="5" t="s">
        <v>15</v>
      </c>
      <c r="G60" s="5" t="s">
        <v>53</v>
      </c>
      <c r="H60" s="5" t="s">
        <v>17</v>
      </c>
    </row>
    <row r="61" customFormat="false" ht="15" hidden="false" customHeight="false" outlineLevel="0" collapsed="false">
      <c r="A61" s="4" t="s">
        <v>179</v>
      </c>
      <c r="B61" s="5" t="s">
        <v>180</v>
      </c>
      <c r="C61" s="5" t="s">
        <v>97</v>
      </c>
      <c r="D61" s="5" t="s">
        <v>13</v>
      </c>
      <c r="E61" s="5" t="s">
        <v>59</v>
      </c>
      <c r="F61" s="5" t="s">
        <v>23</v>
      </c>
      <c r="G61" s="5" t="s">
        <v>60</v>
      </c>
      <c r="H61" s="5" t="s">
        <v>17</v>
      </c>
    </row>
    <row r="62" customFormat="false" ht="15" hidden="false" customHeight="false" outlineLevel="0" collapsed="false">
      <c r="A62" s="4" t="s">
        <v>181</v>
      </c>
      <c r="B62" s="5" t="s">
        <v>182</v>
      </c>
      <c r="C62" s="5" t="s">
        <v>100</v>
      </c>
      <c r="D62" s="5" t="s">
        <v>21</v>
      </c>
      <c r="E62" s="5" t="s">
        <v>65</v>
      </c>
      <c r="F62" s="5" t="s">
        <v>30</v>
      </c>
      <c r="G62" s="5" t="s">
        <v>66</v>
      </c>
      <c r="H62" s="5" t="s">
        <v>39</v>
      </c>
    </row>
    <row r="63" customFormat="false" ht="15" hidden="false" customHeight="false" outlineLevel="0" collapsed="false">
      <c r="A63" s="4" t="s">
        <v>183</v>
      </c>
      <c r="B63" s="5" t="s">
        <v>184</v>
      </c>
      <c r="C63" s="5" t="s">
        <v>103</v>
      </c>
      <c r="D63" s="5" t="s">
        <v>28</v>
      </c>
      <c r="E63" s="5" t="s">
        <v>70</v>
      </c>
      <c r="F63" s="5" t="s">
        <v>37</v>
      </c>
      <c r="G63" s="5" t="s">
        <v>71</v>
      </c>
      <c r="H63" s="5" t="s">
        <v>47</v>
      </c>
    </row>
    <row r="64" customFormat="false" ht="15" hidden="false" customHeight="false" outlineLevel="0" collapsed="false">
      <c r="A64" s="4" t="s">
        <v>185</v>
      </c>
      <c r="B64" s="5" t="s">
        <v>186</v>
      </c>
      <c r="C64" s="5" t="s">
        <v>106</v>
      </c>
      <c r="D64" s="5" t="s">
        <v>35</v>
      </c>
      <c r="E64" s="5" t="s">
        <v>75</v>
      </c>
      <c r="F64" s="5" t="s">
        <v>45</v>
      </c>
      <c r="G64" s="5" t="s">
        <v>76</v>
      </c>
      <c r="H64" s="5" t="s">
        <v>54</v>
      </c>
    </row>
    <row r="65" customFormat="false" ht="15" hidden="false" customHeight="false" outlineLevel="0" collapsed="false">
      <c r="A65" s="4" t="s">
        <v>187</v>
      </c>
      <c r="B65" s="5" t="s">
        <v>188</v>
      </c>
      <c r="C65" s="5" t="s">
        <v>12</v>
      </c>
      <c r="D65" s="5" t="s">
        <v>43</v>
      </c>
      <c r="E65" s="5" t="s">
        <v>14</v>
      </c>
      <c r="F65" s="5" t="s">
        <v>15</v>
      </c>
      <c r="G65" s="5" t="s">
        <v>16</v>
      </c>
      <c r="H65" s="5" t="s">
        <v>17</v>
      </c>
    </row>
    <row r="66" customFormat="false" ht="15" hidden="false" customHeight="false" outlineLevel="0" collapsed="false">
      <c r="A66" s="4" t="s">
        <v>189</v>
      </c>
      <c r="B66" s="5" t="s">
        <v>190</v>
      </c>
      <c r="C66" s="5" t="s">
        <v>20</v>
      </c>
      <c r="D66" s="5" t="s">
        <v>51</v>
      </c>
      <c r="E66" s="5" t="s">
        <v>22</v>
      </c>
      <c r="F66" s="5" t="s">
        <v>23</v>
      </c>
      <c r="G66" s="5" t="s">
        <v>24</v>
      </c>
      <c r="H66" s="5" t="s">
        <v>17</v>
      </c>
    </row>
    <row r="67" customFormat="false" ht="15" hidden="false" customHeight="false" outlineLevel="0" collapsed="false">
      <c r="A67" s="4" t="s">
        <v>191</v>
      </c>
      <c r="B67" s="5" t="s">
        <v>192</v>
      </c>
      <c r="C67" s="5" t="s">
        <v>27</v>
      </c>
      <c r="D67" s="5" t="s">
        <v>58</v>
      </c>
      <c r="E67" s="5" t="s">
        <v>29</v>
      </c>
      <c r="F67" s="5" t="s">
        <v>30</v>
      </c>
      <c r="G67" s="5" t="s">
        <v>31</v>
      </c>
      <c r="H67" s="5" t="s">
        <v>17</v>
      </c>
    </row>
    <row r="68" customFormat="false" ht="15" hidden="false" customHeight="false" outlineLevel="0" collapsed="false">
      <c r="A68" s="4" t="s">
        <v>193</v>
      </c>
      <c r="B68" s="5" t="s">
        <v>194</v>
      </c>
      <c r="C68" s="5" t="s">
        <v>34</v>
      </c>
      <c r="D68" s="5" t="s">
        <v>64</v>
      </c>
      <c r="E68" s="5" t="s">
        <v>36</v>
      </c>
      <c r="F68" s="5" t="s">
        <v>37</v>
      </c>
      <c r="G68" s="5" t="s">
        <v>38</v>
      </c>
      <c r="H68" s="5" t="s">
        <v>39</v>
      </c>
    </row>
    <row r="69" customFormat="false" ht="15" hidden="false" customHeight="false" outlineLevel="0" collapsed="false">
      <c r="A69" s="4" t="s">
        <v>195</v>
      </c>
      <c r="B69" s="5" t="s">
        <v>196</v>
      </c>
      <c r="C69" s="5" t="s">
        <v>42</v>
      </c>
      <c r="D69" s="5" t="s">
        <v>13</v>
      </c>
      <c r="E69" s="5" t="s">
        <v>44</v>
      </c>
      <c r="F69" s="5" t="s">
        <v>45</v>
      </c>
      <c r="G69" s="5" t="s">
        <v>46</v>
      </c>
      <c r="H69" s="5" t="s">
        <v>47</v>
      </c>
    </row>
    <row r="70" customFormat="false" ht="15" hidden="false" customHeight="false" outlineLevel="0" collapsed="false">
      <c r="A70" s="4" t="s">
        <v>197</v>
      </c>
      <c r="B70" s="5" t="s">
        <v>198</v>
      </c>
      <c r="C70" s="5" t="s">
        <v>50</v>
      </c>
      <c r="D70" s="5" t="s">
        <v>21</v>
      </c>
      <c r="E70" s="5" t="s">
        <v>52</v>
      </c>
      <c r="F70" s="5" t="s">
        <v>15</v>
      </c>
      <c r="G70" s="5" t="s">
        <v>53</v>
      </c>
      <c r="H70" s="5" t="s">
        <v>54</v>
      </c>
    </row>
    <row r="71" customFormat="false" ht="15" hidden="false" customHeight="false" outlineLevel="0" collapsed="false">
      <c r="A71" s="4" t="s">
        <v>199</v>
      </c>
      <c r="B71" s="5" t="s">
        <v>200</v>
      </c>
      <c r="C71" s="5" t="s">
        <v>57</v>
      </c>
      <c r="D71" s="5" t="s">
        <v>28</v>
      </c>
      <c r="E71" s="5" t="s">
        <v>59</v>
      </c>
      <c r="F71" s="5" t="s">
        <v>23</v>
      </c>
      <c r="G71" s="5" t="s">
        <v>60</v>
      </c>
      <c r="H71" s="5" t="s">
        <v>17</v>
      </c>
    </row>
    <row r="72" customFormat="false" ht="15" hidden="false" customHeight="false" outlineLevel="0" collapsed="false">
      <c r="A72" s="4" t="s">
        <v>201</v>
      </c>
      <c r="B72" s="5" t="s">
        <v>202</v>
      </c>
      <c r="C72" s="5" t="s">
        <v>63</v>
      </c>
      <c r="D72" s="5" t="s">
        <v>35</v>
      </c>
      <c r="E72" s="5" t="s">
        <v>65</v>
      </c>
      <c r="F72" s="5" t="s">
        <v>30</v>
      </c>
      <c r="G72" s="5" t="s">
        <v>66</v>
      </c>
      <c r="H72" s="5" t="s">
        <v>17</v>
      </c>
    </row>
    <row r="73" customFormat="false" ht="15" hidden="false" customHeight="false" outlineLevel="0" collapsed="false">
      <c r="A73" s="4" t="s">
        <v>203</v>
      </c>
      <c r="B73" s="5" t="s">
        <v>204</v>
      </c>
      <c r="C73" s="5" t="s">
        <v>69</v>
      </c>
      <c r="D73" s="5" t="s">
        <v>43</v>
      </c>
      <c r="E73" s="5" t="s">
        <v>70</v>
      </c>
      <c r="F73" s="5" t="s">
        <v>37</v>
      </c>
      <c r="G73" s="5" t="s">
        <v>71</v>
      </c>
      <c r="H73" s="5" t="s">
        <v>17</v>
      </c>
    </row>
    <row r="74" customFormat="false" ht="15" hidden="false" customHeight="false" outlineLevel="0" collapsed="false">
      <c r="A74" s="4" t="s">
        <v>205</v>
      </c>
      <c r="B74" s="5" t="s">
        <v>206</v>
      </c>
      <c r="C74" s="5" t="s">
        <v>74</v>
      </c>
      <c r="D74" s="5" t="s">
        <v>51</v>
      </c>
      <c r="E74" s="5" t="s">
        <v>75</v>
      </c>
      <c r="F74" s="5" t="s">
        <v>45</v>
      </c>
      <c r="G74" s="5" t="s">
        <v>76</v>
      </c>
      <c r="H74" s="5" t="s">
        <v>39</v>
      </c>
    </row>
    <row r="75" customFormat="false" ht="15" hidden="false" customHeight="false" outlineLevel="0" collapsed="false">
      <c r="A75" s="4" t="s">
        <v>207</v>
      </c>
      <c r="B75" s="5" t="s">
        <v>208</v>
      </c>
      <c r="C75" s="5" t="s">
        <v>79</v>
      </c>
      <c r="D75" s="5" t="s">
        <v>58</v>
      </c>
      <c r="E75" s="5" t="s">
        <v>14</v>
      </c>
      <c r="F75" s="5" t="s">
        <v>15</v>
      </c>
      <c r="G75" s="5" t="s">
        <v>16</v>
      </c>
      <c r="H75" s="5" t="s">
        <v>47</v>
      </c>
    </row>
    <row r="76" customFormat="false" ht="15" hidden="false" customHeight="false" outlineLevel="0" collapsed="false">
      <c r="A76" s="4" t="s">
        <v>209</v>
      </c>
      <c r="B76" s="5" t="s">
        <v>210</v>
      </c>
      <c r="C76" s="5" t="s">
        <v>82</v>
      </c>
      <c r="D76" s="5" t="s">
        <v>64</v>
      </c>
      <c r="E76" s="5" t="s">
        <v>22</v>
      </c>
      <c r="F76" s="5" t="s">
        <v>23</v>
      </c>
      <c r="G76" s="5" t="s">
        <v>24</v>
      </c>
      <c r="H76" s="5" t="s">
        <v>54</v>
      </c>
    </row>
    <row r="77" customFormat="false" ht="15" hidden="false" customHeight="false" outlineLevel="0" collapsed="false">
      <c r="A77" s="4" t="s">
        <v>211</v>
      </c>
      <c r="B77" s="5" t="s">
        <v>212</v>
      </c>
      <c r="C77" s="5" t="s">
        <v>85</v>
      </c>
      <c r="D77" s="5" t="s">
        <v>13</v>
      </c>
      <c r="E77" s="5" t="s">
        <v>29</v>
      </c>
      <c r="F77" s="5" t="s">
        <v>30</v>
      </c>
      <c r="G77" s="5" t="s">
        <v>31</v>
      </c>
      <c r="H77" s="5" t="s">
        <v>17</v>
      </c>
    </row>
    <row r="78" customFormat="false" ht="15" hidden="false" customHeight="false" outlineLevel="0" collapsed="false">
      <c r="A78" s="4" t="s">
        <v>213</v>
      </c>
      <c r="B78" s="5" t="s">
        <v>214</v>
      </c>
      <c r="C78" s="5" t="s">
        <v>88</v>
      </c>
      <c r="D78" s="5" t="s">
        <v>21</v>
      </c>
      <c r="E78" s="5" t="s">
        <v>36</v>
      </c>
      <c r="F78" s="5" t="s">
        <v>37</v>
      </c>
      <c r="G78" s="5" t="s">
        <v>38</v>
      </c>
      <c r="H78" s="5" t="s">
        <v>17</v>
      </c>
    </row>
    <row r="79" customFormat="false" ht="15" hidden="false" customHeight="false" outlineLevel="0" collapsed="false">
      <c r="A79" s="4" t="s">
        <v>215</v>
      </c>
      <c r="B79" s="5" t="s">
        <v>216</v>
      </c>
      <c r="C79" s="5" t="s">
        <v>91</v>
      </c>
      <c r="D79" s="5" t="s">
        <v>28</v>
      </c>
      <c r="E79" s="5" t="s">
        <v>44</v>
      </c>
      <c r="F79" s="5" t="s">
        <v>45</v>
      </c>
      <c r="G79" s="5" t="s">
        <v>46</v>
      </c>
      <c r="H79" s="5" t="s">
        <v>17</v>
      </c>
    </row>
    <row r="80" customFormat="false" ht="15" hidden="false" customHeight="false" outlineLevel="0" collapsed="false">
      <c r="A80" s="4" t="s">
        <v>217</v>
      </c>
      <c r="B80" s="5" t="s">
        <v>218</v>
      </c>
      <c r="C80" s="5" t="s">
        <v>94</v>
      </c>
      <c r="D80" s="5" t="s">
        <v>35</v>
      </c>
      <c r="E80" s="5" t="s">
        <v>52</v>
      </c>
      <c r="F80" s="5" t="s">
        <v>15</v>
      </c>
      <c r="G80" s="5" t="s">
        <v>53</v>
      </c>
      <c r="H80" s="5" t="s">
        <v>39</v>
      </c>
    </row>
    <row r="81" customFormat="false" ht="15" hidden="false" customHeight="false" outlineLevel="0" collapsed="false">
      <c r="A81" s="4" t="s">
        <v>219</v>
      </c>
      <c r="B81" s="5" t="s">
        <v>220</v>
      </c>
      <c r="C81" s="5" t="s">
        <v>97</v>
      </c>
      <c r="D81" s="5" t="s">
        <v>43</v>
      </c>
      <c r="E81" s="5" t="s">
        <v>59</v>
      </c>
      <c r="F81" s="5" t="s">
        <v>23</v>
      </c>
      <c r="G81" s="5" t="s">
        <v>60</v>
      </c>
      <c r="H81" s="5" t="s">
        <v>47</v>
      </c>
    </row>
    <row r="82" customFormat="false" ht="15" hidden="false" customHeight="false" outlineLevel="0" collapsed="false">
      <c r="A82" s="4" t="s">
        <v>221</v>
      </c>
      <c r="B82" s="5" t="s">
        <v>222</v>
      </c>
      <c r="C82" s="5" t="s">
        <v>100</v>
      </c>
      <c r="D82" s="5" t="s">
        <v>51</v>
      </c>
      <c r="E82" s="5" t="s">
        <v>65</v>
      </c>
      <c r="F82" s="5" t="s">
        <v>30</v>
      </c>
      <c r="G82" s="5" t="s">
        <v>66</v>
      </c>
      <c r="H82" s="5" t="s">
        <v>54</v>
      </c>
    </row>
    <row r="83" customFormat="false" ht="15" hidden="false" customHeight="false" outlineLevel="0" collapsed="false">
      <c r="A83" s="4" t="s">
        <v>223</v>
      </c>
      <c r="B83" s="5" t="s">
        <v>224</v>
      </c>
      <c r="C83" s="5" t="s">
        <v>103</v>
      </c>
      <c r="D83" s="5" t="s">
        <v>58</v>
      </c>
      <c r="E83" s="5" t="s">
        <v>70</v>
      </c>
      <c r="F83" s="5" t="s">
        <v>37</v>
      </c>
      <c r="G83" s="5" t="s">
        <v>71</v>
      </c>
      <c r="H83" s="5" t="s">
        <v>17</v>
      </c>
    </row>
    <row r="84" customFormat="false" ht="15" hidden="false" customHeight="false" outlineLevel="0" collapsed="false">
      <c r="A84" s="4" t="s">
        <v>225</v>
      </c>
      <c r="B84" s="5" t="s">
        <v>226</v>
      </c>
      <c r="C84" s="5" t="s">
        <v>106</v>
      </c>
      <c r="D84" s="5" t="s">
        <v>64</v>
      </c>
      <c r="E84" s="5" t="s">
        <v>75</v>
      </c>
      <c r="F84" s="5" t="s">
        <v>45</v>
      </c>
      <c r="G84" s="5" t="s">
        <v>76</v>
      </c>
      <c r="H84" s="5" t="s">
        <v>17</v>
      </c>
    </row>
    <row r="85" customFormat="false" ht="15" hidden="false" customHeight="false" outlineLevel="0" collapsed="false">
      <c r="A85" s="4" t="s">
        <v>227</v>
      </c>
      <c r="B85" s="5" t="s">
        <v>228</v>
      </c>
      <c r="C85" s="5" t="s">
        <v>12</v>
      </c>
      <c r="D85" s="5" t="s">
        <v>13</v>
      </c>
      <c r="E85" s="5" t="s">
        <v>14</v>
      </c>
      <c r="F85" s="5" t="s">
        <v>15</v>
      </c>
      <c r="G85" s="5" t="s">
        <v>16</v>
      </c>
      <c r="H85" s="5" t="s">
        <v>17</v>
      </c>
    </row>
    <row r="86" customFormat="false" ht="15" hidden="false" customHeight="false" outlineLevel="0" collapsed="false">
      <c r="A86" s="4" t="s">
        <v>229</v>
      </c>
      <c r="B86" s="5" t="s">
        <v>230</v>
      </c>
      <c r="C86" s="5" t="s">
        <v>20</v>
      </c>
      <c r="D86" s="5" t="s">
        <v>21</v>
      </c>
      <c r="E86" s="5" t="s">
        <v>22</v>
      </c>
      <c r="F86" s="5" t="s">
        <v>23</v>
      </c>
      <c r="G86" s="5" t="s">
        <v>24</v>
      </c>
      <c r="H86" s="5" t="s">
        <v>39</v>
      </c>
    </row>
    <row r="87" customFormat="false" ht="15" hidden="false" customHeight="false" outlineLevel="0" collapsed="false">
      <c r="A87" s="4" t="s">
        <v>231</v>
      </c>
      <c r="B87" s="5" t="s">
        <v>232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47</v>
      </c>
    </row>
    <row r="88" customFormat="false" ht="15" hidden="false" customHeight="false" outlineLevel="0" collapsed="false">
      <c r="A88" s="4" t="s">
        <v>233</v>
      </c>
      <c r="B88" s="5" t="s">
        <v>234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  <c r="H88" s="5" t="s">
        <v>54</v>
      </c>
    </row>
    <row r="89" customFormat="false" ht="15" hidden="false" customHeight="false" outlineLevel="0" collapsed="false">
      <c r="A89" s="4" t="s">
        <v>235</v>
      </c>
      <c r="B89" s="5" t="s">
        <v>236</v>
      </c>
      <c r="C89" s="5" t="s">
        <v>42</v>
      </c>
      <c r="D89" s="5" t="s">
        <v>43</v>
      </c>
      <c r="E89" s="5" t="s">
        <v>44</v>
      </c>
      <c r="F89" s="5" t="s">
        <v>45</v>
      </c>
      <c r="G89" s="5" t="s">
        <v>46</v>
      </c>
      <c r="H89" s="5" t="s">
        <v>17</v>
      </c>
    </row>
    <row r="90" customFormat="false" ht="15" hidden="false" customHeight="false" outlineLevel="0" collapsed="false">
      <c r="A90" s="4" t="s">
        <v>237</v>
      </c>
      <c r="B90" s="5" t="s">
        <v>238</v>
      </c>
      <c r="C90" s="5" t="s">
        <v>50</v>
      </c>
      <c r="D90" s="5" t="s">
        <v>51</v>
      </c>
      <c r="E90" s="5" t="s">
        <v>52</v>
      </c>
      <c r="F90" s="5" t="s">
        <v>15</v>
      </c>
      <c r="G90" s="5" t="s">
        <v>53</v>
      </c>
      <c r="H90" s="5" t="s">
        <v>17</v>
      </c>
    </row>
    <row r="91" customFormat="false" ht="15" hidden="false" customHeight="false" outlineLevel="0" collapsed="false">
      <c r="A91" s="4" t="s">
        <v>239</v>
      </c>
      <c r="B91" s="5" t="s">
        <v>240</v>
      </c>
      <c r="C91" s="5" t="s">
        <v>57</v>
      </c>
      <c r="D91" s="5" t="s">
        <v>58</v>
      </c>
      <c r="E91" s="5" t="s">
        <v>59</v>
      </c>
      <c r="F91" s="5" t="s">
        <v>23</v>
      </c>
      <c r="G91" s="5" t="s">
        <v>60</v>
      </c>
      <c r="H91" s="5" t="s">
        <v>17</v>
      </c>
    </row>
    <row r="92" customFormat="false" ht="15" hidden="false" customHeight="false" outlineLevel="0" collapsed="false">
      <c r="A92" s="4" t="s">
        <v>241</v>
      </c>
      <c r="B92" s="5" t="s">
        <v>242</v>
      </c>
      <c r="C92" s="5" t="s">
        <v>63</v>
      </c>
      <c r="D92" s="5" t="s">
        <v>64</v>
      </c>
      <c r="E92" s="5" t="s">
        <v>65</v>
      </c>
      <c r="F92" s="5" t="s">
        <v>30</v>
      </c>
      <c r="G92" s="5" t="s">
        <v>66</v>
      </c>
      <c r="H92" s="5" t="s">
        <v>39</v>
      </c>
    </row>
    <row r="93" customFormat="false" ht="15" hidden="false" customHeight="false" outlineLevel="0" collapsed="false">
      <c r="A93" s="4" t="s">
        <v>243</v>
      </c>
      <c r="B93" s="5" t="s">
        <v>244</v>
      </c>
      <c r="C93" s="5" t="s">
        <v>69</v>
      </c>
      <c r="D93" s="5" t="s">
        <v>13</v>
      </c>
      <c r="E93" s="5" t="s">
        <v>70</v>
      </c>
      <c r="F93" s="5" t="s">
        <v>37</v>
      </c>
      <c r="G93" s="5" t="s">
        <v>71</v>
      </c>
      <c r="H93" s="5" t="s">
        <v>47</v>
      </c>
    </row>
    <row r="94" customFormat="false" ht="15" hidden="false" customHeight="false" outlineLevel="0" collapsed="false">
      <c r="A94" s="4" t="s">
        <v>245</v>
      </c>
      <c r="B94" s="5" t="s">
        <v>246</v>
      </c>
      <c r="C94" s="5" t="s">
        <v>74</v>
      </c>
      <c r="D94" s="5" t="s">
        <v>21</v>
      </c>
      <c r="E94" s="5" t="s">
        <v>75</v>
      </c>
      <c r="F94" s="5" t="s">
        <v>45</v>
      </c>
      <c r="G94" s="5" t="s">
        <v>76</v>
      </c>
      <c r="H94" s="5" t="s">
        <v>54</v>
      </c>
    </row>
    <row r="95" customFormat="false" ht="15" hidden="false" customHeight="false" outlineLevel="0" collapsed="false">
      <c r="A95" s="4" t="s">
        <v>247</v>
      </c>
      <c r="B95" s="5" t="s">
        <v>248</v>
      </c>
      <c r="C95" s="5" t="s">
        <v>79</v>
      </c>
      <c r="D95" s="5" t="s">
        <v>28</v>
      </c>
      <c r="E95" s="5" t="s">
        <v>14</v>
      </c>
      <c r="F95" s="5" t="s">
        <v>15</v>
      </c>
      <c r="G95" s="5" t="s">
        <v>16</v>
      </c>
      <c r="H95" s="5" t="s">
        <v>17</v>
      </c>
    </row>
    <row r="96" customFormat="false" ht="15" hidden="false" customHeight="false" outlineLevel="0" collapsed="false">
      <c r="A96" s="4" t="s">
        <v>249</v>
      </c>
      <c r="B96" s="5" t="s">
        <v>250</v>
      </c>
      <c r="C96" s="5" t="s">
        <v>82</v>
      </c>
      <c r="D96" s="5" t="s">
        <v>35</v>
      </c>
      <c r="E96" s="5" t="s">
        <v>22</v>
      </c>
      <c r="F96" s="5" t="s">
        <v>23</v>
      </c>
      <c r="G96" s="5" t="s">
        <v>24</v>
      </c>
      <c r="H96" s="5" t="s">
        <v>17</v>
      </c>
    </row>
    <row r="97" customFormat="false" ht="15" hidden="false" customHeight="false" outlineLevel="0" collapsed="false">
      <c r="A97" s="4" t="s">
        <v>251</v>
      </c>
      <c r="B97" s="5" t="s">
        <v>252</v>
      </c>
      <c r="C97" s="5" t="s">
        <v>85</v>
      </c>
      <c r="D97" s="5" t="s">
        <v>43</v>
      </c>
      <c r="E97" s="5" t="s">
        <v>29</v>
      </c>
      <c r="F97" s="5" t="s">
        <v>30</v>
      </c>
      <c r="G97" s="5" t="s">
        <v>31</v>
      </c>
      <c r="H97" s="5" t="s">
        <v>17</v>
      </c>
    </row>
    <row r="98" customFormat="false" ht="15" hidden="false" customHeight="false" outlineLevel="0" collapsed="false">
      <c r="A98" s="4" t="s">
        <v>253</v>
      </c>
      <c r="B98" s="5" t="s">
        <v>254</v>
      </c>
      <c r="C98" s="5" t="s">
        <v>88</v>
      </c>
      <c r="D98" s="5" t="s">
        <v>51</v>
      </c>
      <c r="E98" s="5" t="s">
        <v>36</v>
      </c>
      <c r="F98" s="5" t="s">
        <v>37</v>
      </c>
      <c r="G98" s="5" t="s">
        <v>38</v>
      </c>
      <c r="H98" s="5" t="s">
        <v>39</v>
      </c>
    </row>
    <row r="99" customFormat="false" ht="15" hidden="false" customHeight="false" outlineLevel="0" collapsed="false">
      <c r="A99" s="4" t="s">
        <v>255</v>
      </c>
      <c r="B99" s="5" t="s">
        <v>256</v>
      </c>
      <c r="C99" s="5" t="s">
        <v>91</v>
      </c>
      <c r="D99" s="5" t="s">
        <v>58</v>
      </c>
      <c r="E99" s="5" t="s">
        <v>44</v>
      </c>
      <c r="F99" s="5" t="s">
        <v>45</v>
      </c>
      <c r="G99" s="5" t="s">
        <v>46</v>
      </c>
      <c r="H99" s="5" t="s">
        <v>47</v>
      </c>
    </row>
    <row r="100" customFormat="false" ht="15" hidden="false" customHeight="false" outlineLevel="0" collapsed="false">
      <c r="A100" s="4" t="s">
        <v>257</v>
      </c>
      <c r="B100" s="5" t="s">
        <v>258</v>
      </c>
      <c r="C100" s="5" t="s">
        <v>94</v>
      </c>
      <c r="D100" s="5" t="s">
        <v>64</v>
      </c>
      <c r="E100" s="5" t="s">
        <v>52</v>
      </c>
      <c r="F100" s="5" t="s">
        <v>15</v>
      </c>
      <c r="G100" s="5" t="s">
        <v>53</v>
      </c>
      <c r="H100" s="5" t="s">
        <v>54</v>
      </c>
    </row>
    <row r="101" customFormat="false" ht="15" hidden="false" customHeight="false" outlineLevel="0" collapsed="false">
      <c r="A101" s="4" t="s">
        <v>259</v>
      </c>
      <c r="B101" s="5" t="s">
        <v>260</v>
      </c>
      <c r="C101" s="5" t="s">
        <v>97</v>
      </c>
      <c r="D101" s="5" t="s">
        <v>13</v>
      </c>
      <c r="E101" s="5" t="s">
        <v>59</v>
      </c>
      <c r="F101" s="5" t="s">
        <v>23</v>
      </c>
      <c r="G101" s="5" t="s">
        <v>60</v>
      </c>
      <c r="H101" s="5" t="s">
        <v>17</v>
      </c>
    </row>
    <row r="102" customFormat="false" ht="15" hidden="false" customHeight="false" outlineLevel="0" collapsed="false">
      <c r="A102" s="4" t="s">
        <v>261</v>
      </c>
      <c r="B102" s="5" t="s">
        <v>262</v>
      </c>
      <c r="C102" s="5" t="s">
        <v>100</v>
      </c>
      <c r="D102" s="5" t="s">
        <v>21</v>
      </c>
      <c r="E102" s="5" t="s">
        <v>65</v>
      </c>
      <c r="F102" s="5" t="s">
        <v>30</v>
      </c>
      <c r="G102" s="5" t="s">
        <v>66</v>
      </c>
      <c r="H102" s="5" t="s">
        <v>17</v>
      </c>
    </row>
    <row r="103" customFormat="false" ht="15" hidden="false" customHeight="false" outlineLevel="0" collapsed="false">
      <c r="A103" s="4" t="s">
        <v>263</v>
      </c>
      <c r="B103" s="5" t="s">
        <v>264</v>
      </c>
      <c r="C103" s="5" t="s">
        <v>103</v>
      </c>
      <c r="D103" s="5" t="s">
        <v>28</v>
      </c>
      <c r="E103" s="5" t="s">
        <v>70</v>
      </c>
      <c r="F103" s="5" t="s">
        <v>37</v>
      </c>
      <c r="G103" s="5" t="s">
        <v>71</v>
      </c>
      <c r="H103" s="5" t="s">
        <v>17</v>
      </c>
    </row>
    <row r="104" customFormat="false" ht="15" hidden="false" customHeight="false" outlineLevel="0" collapsed="false">
      <c r="A104" s="4" t="s">
        <v>265</v>
      </c>
      <c r="B104" s="5" t="s">
        <v>266</v>
      </c>
      <c r="C104" s="5" t="s">
        <v>106</v>
      </c>
      <c r="D104" s="5" t="s">
        <v>35</v>
      </c>
      <c r="E104" s="5" t="s">
        <v>75</v>
      </c>
      <c r="F104" s="5" t="s">
        <v>45</v>
      </c>
      <c r="G104" s="5" t="s">
        <v>76</v>
      </c>
      <c r="H104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4" customFormat="false" ht="15" hidden="false" customHeight="false" outlineLevel="0" collapsed="false">
      <c r="A4" s="3" t="s">
        <v>2</v>
      </c>
      <c r="B4" s="3" t="s">
        <v>269</v>
      </c>
      <c r="C4" s="3" t="s">
        <v>270</v>
      </c>
      <c r="D4" s="3" t="s">
        <v>267</v>
      </c>
      <c r="E4" s="3" t="s">
        <v>271</v>
      </c>
    </row>
    <row r="5" customFormat="false" ht="15" hidden="false" customHeight="false" outlineLevel="0" collapsed="false">
      <c r="A5" s="4" t="s">
        <v>10</v>
      </c>
      <c r="B5" s="5" t="n">
        <v>433951</v>
      </c>
      <c r="C5" s="5" t="n">
        <v>397968</v>
      </c>
      <c r="D5" s="6" t="n">
        <f aca="false">C5/B5</f>
        <v>0.917080499872105</v>
      </c>
      <c r="E5" s="5" t="str">
        <f aca="false">IF(D5&gt;=0.98,"Green",IF(D5&gt;=0.95,"Amber","Red"))</f>
        <v>Red</v>
      </c>
    </row>
    <row r="6" customFormat="false" ht="15" hidden="false" customHeight="false" outlineLevel="0" collapsed="false">
      <c r="A6" s="4" t="s">
        <v>18</v>
      </c>
      <c r="B6" s="5" t="n">
        <v>121213</v>
      </c>
      <c r="C6" s="5" t="n">
        <v>118101</v>
      </c>
      <c r="D6" s="6" t="n">
        <f aca="false">C6/B6</f>
        <v>0.974326186135151</v>
      </c>
      <c r="E6" s="5" t="str">
        <f aca="false">IF(D6&gt;=0.98,"Green",IF(D6&gt;=0.95,"Amber","Red"))</f>
        <v>Amber</v>
      </c>
    </row>
    <row r="7" customFormat="false" ht="15" hidden="false" customHeight="false" outlineLevel="0" collapsed="false">
      <c r="A7" s="4" t="s">
        <v>25</v>
      </c>
      <c r="B7" s="5" t="n">
        <v>124314</v>
      </c>
      <c r="C7" s="5" t="n">
        <v>116955</v>
      </c>
      <c r="D7" s="6" t="n">
        <f aca="false">C7/B7</f>
        <v>0.940803127564072</v>
      </c>
      <c r="E7" s="5" t="str">
        <f aca="false">IF(D7&gt;=0.98,"Green",IF(D7&gt;=0.95,"Amber","Red"))</f>
        <v>Red</v>
      </c>
    </row>
    <row r="8" customFormat="false" ht="15" hidden="false" customHeight="false" outlineLevel="0" collapsed="false">
      <c r="A8" s="4" t="s">
        <v>32</v>
      </c>
      <c r="B8" s="5" t="n">
        <v>302661</v>
      </c>
      <c r="C8" s="5" t="n">
        <v>280041</v>
      </c>
      <c r="D8" s="6" t="n">
        <f aca="false">C8/B8</f>
        <v>0.925262917918067</v>
      </c>
      <c r="E8" s="5" t="str">
        <f aca="false">IF(D8&gt;=0.98,"Green",IF(D8&gt;=0.95,"Amber","Red"))</f>
        <v>Red</v>
      </c>
    </row>
    <row r="9" customFormat="false" ht="15" hidden="false" customHeight="false" outlineLevel="0" collapsed="false">
      <c r="A9" s="4" t="s">
        <v>40</v>
      </c>
      <c r="B9" s="5" t="n">
        <v>245965</v>
      </c>
      <c r="C9" s="5" t="n">
        <v>238447</v>
      </c>
      <c r="D9" s="6" t="n">
        <f aca="false">C9/B9</f>
        <v>0.969434675665237</v>
      </c>
      <c r="E9" s="5" t="str">
        <f aca="false">IF(D9&gt;=0.98,"Green",IF(D9&gt;=0.95,"Amber","Red"))</f>
        <v>Amber</v>
      </c>
    </row>
    <row r="10" customFormat="false" ht="15" hidden="false" customHeight="false" outlineLevel="0" collapsed="false">
      <c r="A10" s="4" t="s">
        <v>48</v>
      </c>
      <c r="B10" s="5" t="n">
        <v>233840</v>
      </c>
      <c r="C10" s="5" t="n">
        <v>212219</v>
      </c>
      <c r="D10" s="6" t="n">
        <f aca="false">C10/B10</f>
        <v>0.907539343140609</v>
      </c>
      <c r="E10" s="5" t="str">
        <f aca="false">IF(D10&gt;=0.98,"Green",IF(D10&gt;=0.95,"Amber","Red"))</f>
        <v>Red</v>
      </c>
    </row>
    <row r="11" customFormat="false" ht="15" hidden="false" customHeight="false" outlineLevel="0" collapsed="false">
      <c r="A11" s="4" t="s">
        <v>55</v>
      </c>
      <c r="B11" s="5" t="n">
        <v>319921</v>
      </c>
      <c r="C11" s="5" t="n">
        <v>289402</v>
      </c>
      <c r="D11" s="6" t="n">
        <f aca="false">C11/B11</f>
        <v>0.904604574254269</v>
      </c>
      <c r="E11" s="5" t="str">
        <f aca="false">IF(D11&gt;=0.98,"Green",IF(D11&gt;=0.95,"Amber","Red"))</f>
        <v>Red</v>
      </c>
    </row>
    <row r="12" customFormat="false" ht="15" hidden="false" customHeight="false" outlineLevel="0" collapsed="false">
      <c r="A12" s="4" t="s">
        <v>61</v>
      </c>
      <c r="B12" s="5" t="n">
        <v>307302</v>
      </c>
      <c r="C12" s="5" t="n">
        <v>292546</v>
      </c>
      <c r="D12" s="6" t="n">
        <f aca="false">C12/B12</f>
        <v>0.951982089280252</v>
      </c>
      <c r="E12" s="5" t="str">
        <f aca="false">IF(D12&gt;=0.98,"Green",IF(D12&gt;=0.95,"Amber","Red"))</f>
        <v>Amber</v>
      </c>
    </row>
    <row r="13" customFormat="false" ht="15" hidden="false" customHeight="false" outlineLevel="0" collapsed="false">
      <c r="A13" s="4" t="s">
        <v>67</v>
      </c>
      <c r="B13" s="5" t="n">
        <v>330025</v>
      </c>
      <c r="C13" s="5" t="n">
        <v>297731</v>
      </c>
      <c r="D13" s="6" t="n">
        <f aca="false">C13/B13</f>
        <v>0.902146807060071</v>
      </c>
      <c r="E13" s="5" t="str">
        <f aca="false">IF(D13&gt;=0.98,"Green",IF(D13&gt;=0.95,"Amber","Red"))</f>
        <v>Red</v>
      </c>
    </row>
    <row r="14" customFormat="false" ht="15" hidden="false" customHeight="false" outlineLevel="0" collapsed="false">
      <c r="A14" s="4" t="s">
        <v>72</v>
      </c>
      <c r="B14" s="5" t="n">
        <v>405464</v>
      </c>
      <c r="C14" s="5" t="n">
        <v>400476</v>
      </c>
      <c r="D14" s="6" t="n">
        <f aca="false">C14/B14</f>
        <v>0.987698044709271</v>
      </c>
      <c r="E14" s="5" t="str">
        <f aca="false">IF(D14&gt;=0.98,"Green",IF(D14&gt;=0.95,"Amber","Red"))</f>
        <v>Green</v>
      </c>
    </row>
    <row r="15" customFormat="false" ht="15" hidden="false" customHeight="false" outlineLevel="0" collapsed="false">
      <c r="A15" s="4" t="s">
        <v>77</v>
      </c>
      <c r="B15" s="5" t="n">
        <v>328644</v>
      </c>
      <c r="C15" s="5" t="n">
        <v>297656</v>
      </c>
      <c r="D15" s="6" t="n">
        <f aca="false">C15/B15</f>
        <v>0.905709521549154</v>
      </c>
      <c r="E15" s="5" t="str">
        <f aca="false">IF(D15&gt;=0.98,"Green",IF(D15&gt;=0.95,"Amber","Red"))</f>
        <v>Red</v>
      </c>
    </row>
    <row r="16" customFormat="false" ht="15" hidden="false" customHeight="false" outlineLevel="0" collapsed="false">
      <c r="A16" s="4" t="s">
        <v>80</v>
      </c>
      <c r="B16" s="5" t="n">
        <v>164670</v>
      </c>
      <c r="C16" s="5" t="n">
        <v>163616</v>
      </c>
      <c r="D16" s="6" t="n">
        <f aca="false">C16/B16</f>
        <v>0.993599319851825</v>
      </c>
      <c r="E16" s="5" t="str">
        <f aca="false">IF(D16&gt;=0.98,"Green",IF(D16&gt;=0.95,"Amber","Red"))</f>
        <v>Green</v>
      </c>
    </row>
    <row r="17" customFormat="false" ht="15" hidden="false" customHeight="false" outlineLevel="0" collapsed="false">
      <c r="A17" s="4" t="s">
        <v>83</v>
      </c>
      <c r="B17" s="5" t="n">
        <v>281553</v>
      </c>
      <c r="C17" s="5" t="n">
        <v>270017</v>
      </c>
      <c r="D17" s="6" t="n">
        <f aca="false">C17/B17</f>
        <v>0.95902725241784</v>
      </c>
      <c r="E17" s="5" t="str">
        <f aca="false">IF(D17&gt;=0.98,"Green",IF(D17&gt;=0.95,"Amber","Red"))</f>
        <v>Amber</v>
      </c>
    </row>
    <row r="18" customFormat="false" ht="15" hidden="false" customHeight="false" outlineLevel="0" collapsed="false">
      <c r="A18" s="4" t="s">
        <v>86</v>
      </c>
      <c r="B18" s="5" t="n">
        <v>378589</v>
      </c>
      <c r="C18" s="5" t="n">
        <v>356265</v>
      </c>
      <c r="D18" s="6" t="n">
        <f aca="false">C18/B18</f>
        <v>0.941033680323517</v>
      </c>
      <c r="E18" s="5" t="str">
        <f aca="false">IF(D18&gt;=0.98,"Green",IF(D18&gt;=0.95,"Amber","Red"))</f>
        <v>Red</v>
      </c>
    </row>
    <row r="19" customFormat="false" ht="15" hidden="false" customHeight="false" outlineLevel="0" collapsed="false">
      <c r="A19" s="4" t="s">
        <v>89</v>
      </c>
      <c r="B19" s="5" t="n">
        <v>59685</v>
      </c>
      <c r="C19" s="5" t="n">
        <v>54835</v>
      </c>
      <c r="D19" s="6" t="n">
        <f aca="false">C19/B19</f>
        <v>0.918740051939348</v>
      </c>
      <c r="E19" s="5" t="str">
        <f aca="false">IF(D19&gt;=0.98,"Green",IF(D19&gt;=0.95,"Amber","Red"))</f>
        <v>Red</v>
      </c>
    </row>
    <row r="20" customFormat="false" ht="15" hidden="false" customHeight="false" outlineLevel="0" collapsed="false">
      <c r="A20" s="4" t="s">
        <v>92</v>
      </c>
      <c r="B20" s="5" t="n">
        <v>89678</v>
      </c>
      <c r="C20" s="5" t="n">
        <v>82935</v>
      </c>
      <c r="D20" s="6" t="n">
        <f aca="false">C20/B20</f>
        <v>0.924808760231049</v>
      </c>
      <c r="E20" s="5" t="str">
        <f aca="false">IF(D20&gt;=0.98,"Green",IF(D20&gt;=0.95,"Amber","Red"))</f>
        <v>Red</v>
      </c>
    </row>
    <row r="21" customFormat="false" ht="15" hidden="false" customHeight="false" outlineLevel="0" collapsed="false">
      <c r="A21" s="4" t="s">
        <v>95</v>
      </c>
      <c r="B21" s="5" t="n">
        <v>389788</v>
      </c>
      <c r="C21" s="5" t="n">
        <v>365948</v>
      </c>
      <c r="D21" s="6" t="n">
        <f aca="false">C21/B21</f>
        <v>0.938838548133857</v>
      </c>
      <c r="E21" s="5" t="str">
        <f aca="false">IF(D21&gt;=0.98,"Green",IF(D21&gt;=0.95,"Amber","Red"))</f>
        <v>Red</v>
      </c>
    </row>
    <row r="22" customFormat="false" ht="15" hidden="false" customHeight="false" outlineLevel="0" collapsed="false">
      <c r="A22" s="4" t="s">
        <v>98</v>
      </c>
      <c r="B22" s="5" t="n">
        <v>123648</v>
      </c>
      <c r="C22" s="5" t="n">
        <v>119304</v>
      </c>
      <c r="D22" s="6" t="n">
        <f aca="false">C22/B22</f>
        <v>0.96486801242236</v>
      </c>
      <c r="E22" s="5" t="str">
        <f aca="false">IF(D22&gt;=0.98,"Green",IF(D22&gt;=0.95,"Amber","Red"))</f>
        <v>Amber</v>
      </c>
    </row>
    <row r="23" customFormat="false" ht="15" hidden="false" customHeight="false" outlineLevel="0" collapsed="false">
      <c r="A23" s="4" t="s">
        <v>101</v>
      </c>
      <c r="B23" s="5" t="n">
        <v>214162</v>
      </c>
      <c r="C23" s="5" t="n">
        <v>200946</v>
      </c>
      <c r="D23" s="6" t="n">
        <f aca="false">C23/B23</f>
        <v>0.938289705923553</v>
      </c>
      <c r="E23" s="5" t="str">
        <f aca="false">IF(D23&gt;=0.98,"Green",IF(D23&gt;=0.95,"Amber","Red"))</f>
        <v>Red</v>
      </c>
    </row>
    <row r="24" customFormat="false" ht="15" hidden="false" customHeight="false" outlineLevel="0" collapsed="false">
      <c r="A24" s="4" t="s">
        <v>104</v>
      </c>
      <c r="B24" s="5" t="n">
        <v>490012</v>
      </c>
      <c r="C24" s="5" t="n">
        <v>485453</v>
      </c>
      <c r="D24" s="6" t="n">
        <f aca="false">C24/B24</f>
        <v>0.990696146216827</v>
      </c>
      <c r="E24" s="5" t="str">
        <f aca="false">IF(D24&gt;=0.98,"Green",IF(D24&gt;=0.95,"Amber","Red"))</f>
        <v>Green</v>
      </c>
    </row>
    <row r="25" customFormat="false" ht="15" hidden="false" customHeight="false" outlineLevel="0" collapsed="false">
      <c r="A25" s="4" t="s">
        <v>107</v>
      </c>
      <c r="B25" s="5" t="n">
        <v>395178</v>
      </c>
      <c r="C25" s="5" t="n">
        <v>369773</v>
      </c>
      <c r="D25" s="6" t="n">
        <f aca="false">C25/B25</f>
        <v>0.935712514360617</v>
      </c>
      <c r="E25" s="5" t="str">
        <f aca="false">IF(D25&gt;=0.98,"Green",IF(D25&gt;=0.95,"Amber","Red"))</f>
        <v>Red</v>
      </c>
    </row>
    <row r="26" customFormat="false" ht="15" hidden="false" customHeight="false" outlineLevel="0" collapsed="false">
      <c r="A26" s="4" t="s">
        <v>109</v>
      </c>
      <c r="B26" s="5" t="n">
        <v>83321</v>
      </c>
      <c r="C26" s="5" t="n">
        <v>79862</v>
      </c>
      <c r="D26" s="6" t="n">
        <f aca="false">C26/B26</f>
        <v>0.958485855906674</v>
      </c>
      <c r="E26" s="5" t="str">
        <f aca="false">IF(D26&gt;=0.98,"Green",IF(D26&gt;=0.95,"Amber","Red"))</f>
        <v>Amber</v>
      </c>
    </row>
    <row r="27" customFormat="false" ht="15" hidden="false" customHeight="false" outlineLevel="0" collapsed="false">
      <c r="A27" s="4" t="s">
        <v>111</v>
      </c>
      <c r="B27" s="5" t="n">
        <v>350137</v>
      </c>
      <c r="C27" s="5" t="n">
        <v>337292</v>
      </c>
      <c r="D27" s="6" t="n">
        <f aca="false">C27/B27</f>
        <v>0.963314359807732</v>
      </c>
      <c r="E27" s="5" t="str">
        <f aca="false">IF(D27&gt;=0.98,"Green",IF(D27&gt;=0.95,"Amber","Red"))</f>
        <v>Amber</v>
      </c>
    </row>
    <row r="28" customFormat="false" ht="15" hidden="false" customHeight="false" outlineLevel="0" collapsed="false">
      <c r="A28" s="4" t="s">
        <v>113</v>
      </c>
      <c r="B28" s="5" t="n">
        <v>66735</v>
      </c>
      <c r="C28" s="5" t="n">
        <v>65097</v>
      </c>
      <c r="D28" s="6" t="n">
        <f aca="false">C28/B28</f>
        <v>0.975455158462576</v>
      </c>
      <c r="E28" s="5" t="str">
        <f aca="false">IF(D28&gt;=0.98,"Green",IF(D28&gt;=0.95,"Amber","Red"))</f>
        <v>Amber</v>
      </c>
    </row>
    <row r="29" customFormat="false" ht="15" hidden="false" customHeight="false" outlineLevel="0" collapsed="false">
      <c r="A29" s="4" t="s">
        <v>115</v>
      </c>
      <c r="B29" s="5" t="n">
        <v>266435</v>
      </c>
      <c r="C29" s="5" t="n">
        <v>254598</v>
      </c>
      <c r="D29" s="6" t="n">
        <f aca="false">C29/B29</f>
        <v>0.955572653742939</v>
      </c>
      <c r="E29" s="5" t="str">
        <f aca="false">IF(D29&gt;=0.98,"Green",IF(D29&gt;=0.95,"Amber","Red"))</f>
        <v>Amber</v>
      </c>
    </row>
    <row r="30" customFormat="false" ht="15" hidden="false" customHeight="false" outlineLevel="0" collapsed="false">
      <c r="A30" s="4" t="s">
        <v>117</v>
      </c>
      <c r="B30" s="5" t="n">
        <v>473250</v>
      </c>
      <c r="C30" s="5" t="n">
        <v>467471</v>
      </c>
      <c r="D30" s="6" t="n">
        <f aca="false">C30/B30</f>
        <v>0.987788695192816</v>
      </c>
      <c r="E30" s="5" t="str">
        <f aca="false">IF(D30&gt;=0.98,"Green",IF(D30&gt;=0.95,"Amber","Red"))</f>
        <v>Green</v>
      </c>
    </row>
    <row r="31" customFormat="false" ht="15" hidden="false" customHeight="false" outlineLevel="0" collapsed="false">
      <c r="A31" s="4" t="s">
        <v>119</v>
      </c>
      <c r="B31" s="5" t="n">
        <v>120334</v>
      </c>
      <c r="C31" s="5" t="n">
        <v>108422</v>
      </c>
      <c r="D31" s="6" t="n">
        <f aca="false">C31/B31</f>
        <v>0.901008858676683</v>
      </c>
      <c r="E31" s="5" t="str">
        <f aca="false">IF(D31&gt;=0.98,"Green",IF(D31&gt;=0.95,"Amber","Red"))</f>
        <v>Red</v>
      </c>
    </row>
    <row r="32" customFormat="false" ht="15" hidden="false" customHeight="false" outlineLevel="0" collapsed="false">
      <c r="A32" s="4" t="s">
        <v>121</v>
      </c>
      <c r="B32" s="5" t="n">
        <v>215303</v>
      </c>
      <c r="C32" s="5" t="n">
        <v>205327</v>
      </c>
      <c r="D32" s="6" t="n">
        <f aca="false">C32/B32</f>
        <v>0.953665299601027</v>
      </c>
      <c r="E32" s="5" t="str">
        <f aca="false">IF(D32&gt;=0.98,"Green",IF(D32&gt;=0.95,"Amber","Red"))</f>
        <v>Amber</v>
      </c>
    </row>
    <row r="33" customFormat="false" ht="15" hidden="false" customHeight="false" outlineLevel="0" collapsed="false">
      <c r="A33" s="4" t="s">
        <v>123</v>
      </c>
      <c r="B33" s="5" t="n">
        <v>152207</v>
      </c>
      <c r="C33" s="5" t="n">
        <v>141089</v>
      </c>
      <c r="D33" s="6" t="n">
        <f aca="false">C33/B33</f>
        <v>0.926954739269547</v>
      </c>
      <c r="E33" s="5" t="str">
        <f aca="false">IF(D33&gt;=0.98,"Green",IF(D33&gt;=0.95,"Amber","Red"))</f>
        <v>Red</v>
      </c>
    </row>
    <row r="34" customFormat="false" ht="15" hidden="false" customHeight="false" outlineLevel="0" collapsed="false">
      <c r="A34" s="4" t="s">
        <v>125</v>
      </c>
      <c r="B34" s="5" t="n">
        <v>114018</v>
      </c>
      <c r="C34" s="5" t="n">
        <v>105427</v>
      </c>
      <c r="D34" s="6" t="n">
        <f aca="false">C34/B34</f>
        <v>0.924652247890684</v>
      </c>
      <c r="E34" s="5" t="str">
        <f aca="false">IF(D34&gt;=0.98,"Green",IF(D34&gt;=0.95,"Amber","Red"))</f>
        <v>Red</v>
      </c>
    </row>
    <row r="35" customFormat="false" ht="15" hidden="false" customHeight="false" outlineLevel="0" collapsed="false">
      <c r="A35" s="4" t="s">
        <v>127</v>
      </c>
      <c r="B35" s="5" t="n">
        <v>205054</v>
      </c>
      <c r="C35" s="5" t="n">
        <v>193977</v>
      </c>
      <c r="D35" s="6" t="n">
        <f aca="false">C35/B35</f>
        <v>0.945980083295132</v>
      </c>
      <c r="E35" s="5" t="str">
        <f aca="false">IF(D35&gt;=0.98,"Green",IF(D35&gt;=0.95,"Amber","Red"))</f>
        <v>Red</v>
      </c>
    </row>
    <row r="36" customFormat="false" ht="15" hidden="false" customHeight="false" outlineLevel="0" collapsed="false">
      <c r="A36" s="4" t="s">
        <v>129</v>
      </c>
      <c r="B36" s="5" t="n">
        <v>377281</v>
      </c>
      <c r="C36" s="5" t="n">
        <v>369279</v>
      </c>
      <c r="D36" s="6" t="n">
        <f aca="false">C36/B36</f>
        <v>0.978790344597263</v>
      </c>
      <c r="E36" s="5" t="str">
        <f aca="false">IF(D36&gt;=0.98,"Green",IF(D36&gt;=0.95,"Amber","Red"))</f>
        <v>Amber</v>
      </c>
    </row>
    <row r="37" customFormat="false" ht="15" hidden="false" customHeight="false" outlineLevel="0" collapsed="false">
      <c r="A37" s="4" t="s">
        <v>131</v>
      </c>
      <c r="B37" s="5" t="n">
        <v>462345</v>
      </c>
      <c r="C37" s="5" t="n">
        <v>447362</v>
      </c>
      <c r="D37" s="6" t="n">
        <f aca="false">C37/B37</f>
        <v>0.967593463755421</v>
      </c>
      <c r="E37" s="5" t="str">
        <f aca="false">IF(D37&gt;=0.98,"Green",IF(D37&gt;=0.95,"Amber","Red"))</f>
        <v>Amber</v>
      </c>
    </row>
    <row r="38" customFormat="false" ht="15" hidden="false" customHeight="false" outlineLevel="0" collapsed="false">
      <c r="A38" s="4" t="s">
        <v>133</v>
      </c>
      <c r="B38" s="5" t="n">
        <v>132461</v>
      </c>
      <c r="C38" s="5" t="n">
        <v>131574</v>
      </c>
      <c r="D38" s="6" t="n">
        <f aca="false">C38/B38</f>
        <v>0.99330368938782</v>
      </c>
      <c r="E38" s="5" t="str">
        <f aca="false">IF(D38&gt;=0.98,"Green",IF(D38&gt;=0.95,"Amber","Red"))</f>
        <v>Green</v>
      </c>
    </row>
    <row r="39" customFormat="false" ht="15" hidden="false" customHeight="false" outlineLevel="0" collapsed="false">
      <c r="A39" s="4" t="s">
        <v>135</v>
      </c>
      <c r="B39" s="5" t="n">
        <v>64634</v>
      </c>
      <c r="C39" s="5" t="n">
        <v>58647</v>
      </c>
      <c r="D39" s="6" t="n">
        <f aca="false">C39/B39</f>
        <v>0.907370733669586</v>
      </c>
      <c r="E39" s="5" t="str">
        <f aca="false">IF(D39&gt;=0.98,"Green",IF(D39&gt;=0.95,"Amber","Red"))</f>
        <v>Red</v>
      </c>
    </row>
    <row r="40" customFormat="false" ht="15" hidden="false" customHeight="false" outlineLevel="0" collapsed="false">
      <c r="A40" s="4" t="s">
        <v>137</v>
      </c>
      <c r="B40" s="5" t="n">
        <v>355378</v>
      </c>
      <c r="C40" s="5" t="n">
        <v>338062</v>
      </c>
      <c r="D40" s="6" t="n">
        <f aca="false">C40/B40</f>
        <v>0.95127441766232</v>
      </c>
      <c r="E40" s="5" t="str">
        <f aca="false">IF(D40&gt;=0.98,"Green",IF(D40&gt;=0.95,"Amber","Red"))</f>
        <v>Amber</v>
      </c>
    </row>
    <row r="41" customFormat="false" ht="15" hidden="false" customHeight="false" outlineLevel="0" collapsed="false">
      <c r="A41" s="4" t="s">
        <v>139</v>
      </c>
      <c r="B41" s="5" t="n">
        <v>324171</v>
      </c>
      <c r="C41" s="5" t="n">
        <v>321164</v>
      </c>
      <c r="D41" s="6" t="n">
        <f aca="false">C41/B41</f>
        <v>0.990724031452536</v>
      </c>
      <c r="E41" s="5" t="str">
        <f aca="false">IF(D41&gt;=0.98,"Green",IF(D41&gt;=0.95,"Amber","Red"))</f>
        <v>Green</v>
      </c>
    </row>
    <row r="42" customFormat="false" ht="15" hidden="false" customHeight="false" outlineLevel="0" collapsed="false">
      <c r="A42" s="4" t="s">
        <v>141</v>
      </c>
      <c r="B42" s="5" t="n">
        <v>439746</v>
      </c>
      <c r="C42" s="5" t="n">
        <v>409731</v>
      </c>
      <c r="D42" s="6" t="n">
        <f aca="false">C42/B42</f>
        <v>0.931744688979547</v>
      </c>
      <c r="E42" s="5" t="str">
        <f aca="false">IF(D42&gt;=0.98,"Green",IF(D42&gt;=0.95,"Amber","Red"))</f>
        <v>Red</v>
      </c>
    </row>
    <row r="43" customFormat="false" ht="15" hidden="false" customHeight="false" outlineLevel="0" collapsed="false">
      <c r="A43" s="4" t="s">
        <v>143</v>
      </c>
      <c r="B43" s="5" t="n">
        <v>480023</v>
      </c>
      <c r="C43" s="5" t="n">
        <v>445942</v>
      </c>
      <c r="D43" s="6" t="n">
        <f aca="false">C43/B43</f>
        <v>0.929001318686813</v>
      </c>
      <c r="E43" s="5" t="str">
        <f aca="false">IF(D43&gt;=0.98,"Green",IF(D43&gt;=0.95,"Amber","Red"))</f>
        <v>Red</v>
      </c>
    </row>
    <row r="44" customFormat="false" ht="15" hidden="false" customHeight="false" outlineLevel="0" collapsed="false">
      <c r="A44" s="4" t="s">
        <v>145</v>
      </c>
      <c r="B44" s="5" t="n">
        <v>68955</v>
      </c>
      <c r="C44" s="5" t="n">
        <v>67940</v>
      </c>
      <c r="D44" s="6" t="n">
        <f aca="false">C44/B44</f>
        <v>0.985280255238924</v>
      </c>
      <c r="E44" s="5" t="str">
        <f aca="false">IF(D44&gt;=0.98,"Green",IF(D44&gt;=0.95,"Amber","Red"))</f>
        <v>Green</v>
      </c>
    </row>
    <row r="45" customFormat="false" ht="15" hidden="false" customHeight="false" outlineLevel="0" collapsed="false">
      <c r="A45" s="4" t="s">
        <v>147</v>
      </c>
      <c r="B45" s="5" t="n">
        <v>437030</v>
      </c>
      <c r="C45" s="5" t="n">
        <v>395307</v>
      </c>
      <c r="D45" s="6" t="n">
        <f aca="false">C45/B45</f>
        <v>0.904530581424616</v>
      </c>
      <c r="E45" s="5" t="str">
        <f aca="false">IF(D45&gt;=0.98,"Green",IF(D45&gt;=0.95,"Amber","Red"))</f>
        <v>Red</v>
      </c>
    </row>
    <row r="46" customFormat="false" ht="15" hidden="false" customHeight="false" outlineLevel="0" collapsed="false">
      <c r="A46" s="4" t="s">
        <v>149</v>
      </c>
      <c r="B46" s="5" t="n">
        <v>147586</v>
      </c>
      <c r="C46" s="5" t="n">
        <v>135139</v>
      </c>
      <c r="D46" s="6" t="n">
        <f aca="false">C46/B46</f>
        <v>0.915662732237475</v>
      </c>
      <c r="E46" s="5" t="str">
        <f aca="false">IF(D46&gt;=0.98,"Green",IF(D46&gt;=0.95,"Amber","Red"))</f>
        <v>Red</v>
      </c>
    </row>
    <row r="47" customFormat="false" ht="15" hidden="false" customHeight="false" outlineLevel="0" collapsed="false">
      <c r="A47" s="4" t="s">
        <v>151</v>
      </c>
      <c r="B47" s="5" t="n">
        <v>200921</v>
      </c>
      <c r="C47" s="5" t="n">
        <v>199327</v>
      </c>
      <c r="D47" s="6" t="n">
        <f aca="false">C47/B47</f>
        <v>0.992066533612714</v>
      </c>
      <c r="E47" s="5" t="str">
        <f aca="false">IF(D47&gt;=0.98,"Green",IF(D47&gt;=0.95,"Amber","Red"))</f>
        <v>Green</v>
      </c>
    </row>
    <row r="48" customFormat="false" ht="15" hidden="false" customHeight="false" outlineLevel="0" collapsed="false">
      <c r="A48" s="4" t="s">
        <v>153</v>
      </c>
      <c r="B48" s="5" t="n">
        <v>247464</v>
      </c>
      <c r="C48" s="5" t="n">
        <v>230848</v>
      </c>
      <c r="D48" s="6" t="n">
        <f aca="false">C48/B48</f>
        <v>0.932854879901723</v>
      </c>
      <c r="E48" s="5" t="str">
        <f aca="false">IF(D48&gt;=0.98,"Green",IF(D48&gt;=0.95,"Amber","Red"))</f>
        <v>Red</v>
      </c>
    </row>
    <row r="49" customFormat="false" ht="15" hidden="false" customHeight="false" outlineLevel="0" collapsed="false">
      <c r="A49" s="4" t="s">
        <v>155</v>
      </c>
      <c r="B49" s="5" t="n">
        <v>151294</v>
      </c>
      <c r="C49" s="5" t="n">
        <v>146325</v>
      </c>
      <c r="D49" s="6" t="n">
        <f aca="false">C49/B49</f>
        <v>0.967156661863656</v>
      </c>
      <c r="E49" s="5" t="str">
        <f aca="false">IF(D49&gt;=0.98,"Green",IF(D49&gt;=0.95,"Amber","Red"))</f>
        <v>Amber</v>
      </c>
    </row>
    <row r="50" customFormat="false" ht="15" hidden="false" customHeight="false" outlineLevel="0" collapsed="false">
      <c r="A50" s="4" t="s">
        <v>157</v>
      </c>
      <c r="B50" s="5" t="n">
        <v>349751</v>
      </c>
      <c r="C50" s="5" t="n">
        <v>331542</v>
      </c>
      <c r="D50" s="6" t="n">
        <f aca="false">C50/B50</f>
        <v>0.947937246784141</v>
      </c>
      <c r="E50" s="5" t="str">
        <f aca="false">IF(D50&gt;=0.98,"Green",IF(D50&gt;=0.95,"Amber","Red"))</f>
        <v>Red</v>
      </c>
    </row>
    <row r="51" customFormat="false" ht="15" hidden="false" customHeight="false" outlineLevel="0" collapsed="false">
      <c r="A51" s="4" t="s">
        <v>159</v>
      </c>
      <c r="B51" s="5" t="n">
        <v>354056</v>
      </c>
      <c r="C51" s="5" t="n">
        <v>339552</v>
      </c>
      <c r="D51" s="6" t="n">
        <f aca="false">C51/B51</f>
        <v>0.959034728969429</v>
      </c>
      <c r="E51" s="5" t="str">
        <f aca="false">IF(D51&gt;=0.98,"Green",IF(D51&gt;=0.95,"Amber","Red"))</f>
        <v>Amber</v>
      </c>
    </row>
    <row r="52" customFormat="false" ht="15" hidden="false" customHeight="false" outlineLevel="0" collapsed="false">
      <c r="A52" s="4" t="s">
        <v>161</v>
      </c>
      <c r="B52" s="5" t="n">
        <v>257820</v>
      </c>
      <c r="C52" s="5" t="n">
        <v>232912</v>
      </c>
      <c r="D52" s="6" t="n">
        <f aca="false">C52/B52</f>
        <v>0.903389961988985</v>
      </c>
      <c r="E52" s="5" t="str">
        <f aca="false">IF(D52&gt;=0.98,"Green",IF(D52&gt;=0.95,"Amber","Red"))</f>
        <v>Red</v>
      </c>
    </row>
    <row r="53" customFormat="false" ht="15" hidden="false" customHeight="false" outlineLevel="0" collapsed="false">
      <c r="A53" s="4" t="s">
        <v>163</v>
      </c>
      <c r="B53" s="5" t="n">
        <v>363481</v>
      </c>
      <c r="C53" s="5" t="n">
        <v>358780</v>
      </c>
      <c r="D53" s="6" t="n">
        <f aca="false">C53/B53</f>
        <v>0.987066724257939</v>
      </c>
      <c r="E53" s="5" t="str">
        <f aca="false">IF(D53&gt;=0.98,"Green",IF(D53&gt;=0.95,"Amber","Red"))</f>
        <v>Green</v>
      </c>
    </row>
    <row r="54" customFormat="false" ht="15" hidden="false" customHeight="false" outlineLevel="0" collapsed="false">
      <c r="A54" s="4" t="s">
        <v>165</v>
      </c>
      <c r="B54" s="5" t="n">
        <v>311418</v>
      </c>
      <c r="C54" s="5" t="n">
        <v>296783</v>
      </c>
      <c r="D54" s="6" t="n">
        <f aca="false">C54/B54</f>
        <v>0.953005285500517</v>
      </c>
      <c r="E54" s="5" t="str">
        <f aca="false">IF(D54&gt;=0.98,"Green",IF(D54&gt;=0.95,"Amber","Red"))</f>
        <v>Amber</v>
      </c>
    </row>
    <row r="55" customFormat="false" ht="15" hidden="false" customHeight="false" outlineLevel="0" collapsed="false">
      <c r="A55" s="4" t="s">
        <v>167</v>
      </c>
      <c r="B55" s="5" t="n">
        <v>163571</v>
      </c>
      <c r="C55" s="5" t="n">
        <v>149889</v>
      </c>
      <c r="D55" s="6" t="n">
        <f aca="false">C55/B55</f>
        <v>0.916354365993972</v>
      </c>
      <c r="E55" s="5" t="str">
        <f aca="false">IF(D55&gt;=0.98,"Green",IF(D55&gt;=0.95,"Amber","Red"))</f>
        <v>Red</v>
      </c>
    </row>
    <row r="56" customFormat="false" ht="15" hidden="false" customHeight="false" outlineLevel="0" collapsed="false">
      <c r="A56" s="4" t="s">
        <v>169</v>
      </c>
      <c r="B56" s="5" t="n">
        <v>458745</v>
      </c>
      <c r="C56" s="5" t="n">
        <v>434668</v>
      </c>
      <c r="D56" s="6" t="n">
        <f aca="false">C56/B56</f>
        <v>0.947515504256177</v>
      </c>
      <c r="E56" s="5" t="str">
        <f aca="false">IF(D56&gt;=0.98,"Green",IF(D56&gt;=0.95,"Amber","Red"))</f>
        <v>Red</v>
      </c>
    </row>
    <row r="57" customFormat="false" ht="15" hidden="false" customHeight="false" outlineLevel="0" collapsed="false">
      <c r="A57" s="4" t="s">
        <v>171</v>
      </c>
      <c r="B57" s="5" t="n">
        <v>111486</v>
      </c>
      <c r="C57" s="5" t="n">
        <v>105609</v>
      </c>
      <c r="D57" s="6" t="n">
        <f aca="false">C57/B57</f>
        <v>0.947284860879393</v>
      </c>
      <c r="E57" s="5" t="str">
        <f aca="false">IF(D57&gt;=0.98,"Green",IF(D57&gt;=0.95,"Amber","Red"))</f>
        <v>Red</v>
      </c>
    </row>
    <row r="58" customFormat="false" ht="15" hidden="false" customHeight="false" outlineLevel="0" collapsed="false">
      <c r="A58" s="4" t="s">
        <v>173</v>
      </c>
      <c r="B58" s="5" t="n">
        <v>107650</v>
      </c>
      <c r="C58" s="5" t="n">
        <v>101749</v>
      </c>
      <c r="D58" s="6" t="n">
        <f aca="false">C58/B58</f>
        <v>0.945183464932652</v>
      </c>
      <c r="E58" s="5" t="str">
        <f aca="false">IF(D58&gt;=0.98,"Green",IF(D58&gt;=0.95,"Amber","Red"))</f>
        <v>Red</v>
      </c>
    </row>
    <row r="59" customFormat="false" ht="15" hidden="false" customHeight="false" outlineLevel="0" collapsed="false">
      <c r="A59" s="4" t="s">
        <v>175</v>
      </c>
      <c r="B59" s="5" t="n">
        <v>423347</v>
      </c>
      <c r="C59" s="5" t="n">
        <v>406426</v>
      </c>
      <c r="D59" s="6" t="n">
        <f aca="false">C59/B59</f>
        <v>0.960030424214651</v>
      </c>
      <c r="E59" s="5" t="str">
        <f aca="false">IF(D59&gt;=0.98,"Green",IF(D59&gt;=0.95,"Amber","Red"))</f>
        <v>Amber</v>
      </c>
    </row>
    <row r="60" customFormat="false" ht="15" hidden="false" customHeight="false" outlineLevel="0" collapsed="false">
      <c r="A60" s="4" t="s">
        <v>177</v>
      </c>
      <c r="B60" s="5" t="n">
        <v>436119</v>
      </c>
      <c r="C60" s="5" t="n">
        <v>436067</v>
      </c>
      <c r="D60" s="6" t="n">
        <f aca="false">C60/B60</f>
        <v>0.999880766488046</v>
      </c>
      <c r="E60" s="5" t="str">
        <f aca="false">IF(D60&gt;=0.98,"Green",IF(D60&gt;=0.95,"Amber","Red"))</f>
        <v>Green</v>
      </c>
    </row>
    <row r="61" customFormat="false" ht="15" hidden="false" customHeight="false" outlineLevel="0" collapsed="false">
      <c r="A61" s="4" t="s">
        <v>179</v>
      </c>
      <c r="B61" s="5" t="n">
        <v>126254</v>
      </c>
      <c r="C61" s="5" t="n">
        <v>114366</v>
      </c>
      <c r="D61" s="6" t="n">
        <f aca="false">C61/B61</f>
        <v>0.905840607030272</v>
      </c>
      <c r="E61" s="5" t="str">
        <f aca="false">IF(D61&gt;=0.98,"Green",IF(D61&gt;=0.95,"Amber","Red"))</f>
        <v>Red</v>
      </c>
    </row>
    <row r="62" customFormat="false" ht="15" hidden="false" customHeight="false" outlineLevel="0" collapsed="false">
      <c r="A62" s="4" t="s">
        <v>181</v>
      </c>
      <c r="B62" s="5" t="n">
        <v>327005</v>
      </c>
      <c r="C62" s="5" t="n">
        <v>299351</v>
      </c>
      <c r="D62" s="6" t="n">
        <f aca="false">C62/B62</f>
        <v>0.915432485741808</v>
      </c>
      <c r="E62" s="5" t="str">
        <f aca="false">IF(D62&gt;=0.98,"Green",IF(D62&gt;=0.95,"Amber","Red"))</f>
        <v>Red</v>
      </c>
    </row>
    <row r="63" customFormat="false" ht="15" hidden="false" customHeight="false" outlineLevel="0" collapsed="false">
      <c r="A63" s="4" t="s">
        <v>183</v>
      </c>
      <c r="B63" s="5" t="n">
        <v>170133</v>
      </c>
      <c r="C63" s="5" t="n">
        <v>166982</v>
      </c>
      <c r="D63" s="6" t="n">
        <f aca="false">C63/B63</f>
        <v>0.981479195688079</v>
      </c>
      <c r="E63" s="5" t="str">
        <f aca="false">IF(D63&gt;=0.98,"Green",IF(D63&gt;=0.95,"Amber","Red"))</f>
        <v>Green</v>
      </c>
    </row>
    <row r="64" customFormat="false" ht="15" hidden="false" customHeight="false" outlineLevel="0" collapsed="false">
      <c r="A64" s="4" t="s">
        <v>185</v>
      </c>
      <c r="B64" s="5" t="n">
        <v>183174</v>
      </c>
      <c r="C64" s="5" t="n">
        <v>181282</v>
      </c>
      <c r="D64" s="6" t="n">
        <f aca="false">C64/B64</f>
        <v>0.989671023180146</v>
      </c>
      <c r="E64" s="5" t="str">
        <f aca="false">IF(D64&gt;=0.98,"Green",IF(D64&gt;=0.95,"Amber","Red"))</f>
        <v>Green</v>
      </c>
    </row>
    <row r="65" customFormat="false" ht="15" hidden="false" customHeight="false" outlineLevel="0" collapsed="false">
      <c r="A65" s="4" t="s">
        <v>187</v>
      </c>
      <c r="B65" s="5" t="n">
        <v>428365</v>
      </c>
      <c r="C65" s="5" t="n">
        <v>391371</v>
      </c>
      <c r="D65" s="6" t="n">
        <f aca="false">C65/B65</f>
        <v>0.913639069485135</v>
      </c>
      <c r="E65" s="5" t="str">
        <f aca="false">IF(D65&gt;=0.98,"Green",IF(D65&gt;=0.95,"Amber","Red"))</f>
        <v>Red</v>
      </c>
    </row>
    <row r="66" customFormat="false" ht="15" hidden="false" customHeight="false" outlineLevel="0" collapsed="false">
      <c r="A66" s="4" t="s">
        <v>189</v>
      </c>
      <c r="B66" s="5" t="n">
        <v>124880</v>
      </c>
      <c r="C66" s="5" t="n">
        <v>112657</v>
      </c>
      <c r="D66" s="6" t="n">
        <f aca="false">C66/B66</f>
        <v>0.902122037155669</v>
      </c>
      <c r="E66" s="5" t="str">
        <f aca="false">IF(D66&gt;=0.98,"Green",IF(D66&gt;=0.95,"Amber","Red"))</f>
        <v>Red</v>
      </c>
    </row>
    <row r="67" customFormat="false" ht="15" hidden="false" customHeight="false" outlineLevel="0" collapsed="false">
      <c r="A67" s="4" t="s">
        <v>191</v>
      </c>
      <c r="B67" s="5" t="n">
        <v>196383</v>
      </c>
      <c r="C67" s="5" t="n">
        <v>183564</v>
      </c>
      <c r="D67" s="6" t="n">
        <f aca="false">C67/B67</f>
        <v>0.934724492445884</v>
      </c>
      <c r="E67" s="5" t="str">
        <f aca="false">IF(D67&gt;=0.98,"Green",IF(D67&gt;=0.95,"Amber","Red"))</f>
        <v>Red</v>
      </c>
    </row>
    <row r="68" customFormat="false" ht="15" hidden="false" customHeight="false" outlineLevel="0" collapsed="false">
      <c r="A68" s="4" t="s">
        <v>193</v>
      </c>
      <c r="B68" s="5" t="n">
        <v>473763</v>
      </c>
      <c r="C68" s="5" t="n">
        <v>435800</v>
      </c>
      <c r="D68" s="6" t="n">
        <f aca="false">C68/B68</f>
        <v>0.919869217309076</v>
      </c>
      <c r="E68" s="5" t="str">
        <f aca="false">IF(D68&gt;=0.98,"Green",IF(D68&gt;=0.95,"Amber","Red"))</f>
        <v>Red</v>
      </c>
    </row>
    <row r="69" customFormat="false" ht="15" hidden="false" customHeight="false" outlineLevel="0" collapsed="false">
      <c r="A69" s="4" t="s">
        <v>195</v>
      </c>
      <c r="B69" s="5" t="n">
        <v>282053</v>
      </c>
      <c r="C69" s="5" t="n">
        <v>269823</v>
      </c>
      <c r="D69" s="6" t="n">
        <f aca="false">C69/B69</f>
        <v>0.956639355014838</v>
      </c>
      <c r="E69" s="5" t="str">
        <f aca="false">IF(D69&gt;=0.98,"Green",IF(D69&gt;=0.95,"Amber","Red"))</f>
        <v>Amber</v>
      </c>
    </row>
    <row r="70" customFormat="false" ht="15" hidden="false" customHeight="false" outlineLevel="0" collapsed="false">
      <c r="A70" s="4" t="s">
        <v>197</v>
      </c>
      <c r="B70" s="5" t="n">
        <v>498353</v>
      </c>
      <c r="C70" s="5" t="n">
        <v>463992</v>
      </c>
      <c r="D70" s="6" t="n">
        <f aca="false">C70/B70</f>
        <v>0.931050881604004</v>
      </c>
      <c r="E70" s="5" t="str">
        <f aca="false">IF(D70&gt;=0.98,"Green",IF(D70&gt;=0.95,"Amber","Red"))</f>
        <v>Red</v>
      </c>
    </row>
    <row r="71" customFormat="false" ht="15" hidden="false" customHeight="false" outlineLevel="0" collapsed="false">
      <c r="A71" s="4" t="s">
        <v>199</v>
      </c>
      <c r="B71" s="5" t="n">
        <v>320624</v>
      </c>
      <c r="C71" s="5" t="n">
        <v>304581</v>
      </c>
      <c r="D71" s="6" t="n">
        <f aca="false">C71/B71</f>
        <v>0.949963196766306</v>
      </c>
      <c r="E71" s="5" t="str">
        <f aca="false">IF(D71&gt;=0.98,"Green",IF(D71&gt;=0.95,"Amber","Red"))</f>
        <v>Red</v>
      </c>
    </row>
    <row r="72" customFormat="false" ht="15" hidden="false" customHeight="false" outlineLevel="0" collapsed="false">
      <c r="A72" s="4" t="s">
        <v>201</v>
      </c>
      <c r="B72" s="5" t="n">
        <v>384106</v>
      </c>
      <c r="C72" s="5" t="n">
        <v>381402</v>
      </c>
      <c r="D72" s="6" t="n">
        <f aca="false">C72/B72</f>
        <v>0.992960276590316</v>
      </c>
      <c r="E72" s="5" t="str">
        <f aca="false">IF(D72&gt;=0.98,"Green",IF(D72&gt;=0.95,"Amber","Red"))</f>
        <v>Green</v>
      </c>
    </row>
    <row r="73" customFormat="false" ht="15" hidden="false" customHeight="false" outlineLevel="0" collapsed="false">
      <c r="A73" s="4" t="s">
        <v>203</v>
      </c>
      <c r="B73" s="5" t="n">
        <v>474833</v>
      </c>
      <c r="C73" s="5" t="n">
        <v>429852</v>
      </c>
      <c r="D73" s="6" t="n">
        <f aca="false">C73/B73</f>
        <v>0.905269852769289</v>
      </c>
      <c r="E73" s="5" t="str">
        <f aca="false">IF(D73&gt;=0.98,"Green",IF(D73&gt;=0.95,"Amber","Red"))</f>
        <v>Red</v>
      </c>
    </row>
    <row r="74" customFormat="false" ht="15" hidden="false" customHeight="false" outlineLevel="0" collapsed="false">
      <c r="A74" s="4" t="s">
        <v>205</v>
      </c>
      <c r="B74" s="5" t="n">
        <v>243985</v>
      </c>
      <c r="C74" s="5" t="n">
        <v>225119</v>
      </c>
      <c r="D74" s="6" t="n">
        <f aca="false">C74/B74</f>
        <v>0.922675574318093</v>
      </c>
      <c r="E74" s="5" t="str">
        <f aca="false">IF(D74&gt;=0.98,"Green",IF(D74&gt;=0.95,"Amber","Red"))</f>
        <v>Red</v>
      </c>
    </row>
    <row r="75" customFormat="false" ht="15" hidden="false" customHeight="false" outlineLevel="0" collapsed="false">
      <c r="A75" s="4" t="s">
        <v>207</v>
      </c>
      <c r="B75" s="5" t="n">
        <v>475574</v>
      </c>
      <c r="C75" s="5" t="n">
        <v>434101</v>
      </c>
      <c r="D75" s="6" t="n">
        <f aca="false">C75/B75</f>
        <v>0.912793802857179</v>
      </c>
      <c r="E75" s="5" t="str">
        <f aca="false">IF(D75&gt;=0.98,"Green",IF(D75&gt;=0.95,"Amber","Red"))</f>
        <v>Red</v>
      </c>
    </row>
    <row r="76" customFormat="false" ht="15" hidden="false" customHeight="false" outlineLevel="0" collapsed="false">
      <c r="A76" s="4" t="s">
        <v>209</v>
      </c>
      <c r="B76" s="5" t="n">
        <v>55772</v>
      </c>
      <c r="C76" s="5" t="n">
        <v>50194</v>
      </c>
      <c r="D76" s="6" t="n">
        <f aca="false">C76/B76</f>
        <v>0.899985655884673</v>
      </c>
      <c r="E76" s="5" t="str">
        <f aca="false">IF(D76&gt;=0.98,"Green",IF(D76&gt;=0.95,"Amber","Red"))</f>
        <v>Red</v>
      </c>
    </row>
    <row r="77" customFormat="false" ht="15" hidden="false" customHeight="false" outlineLevel="0" collapsed="false">
      <c r="A77" s="4" t="s">
        <v>211</v>
      </c>
      <c r="B77" s="5" t="n">
        <v>411329</v>
      </c>
      <c r="C77" s="5" t="n">
        <v>375656</v>
      </c>
      <c r="D77" s="6" t="n">
        <f aca="false">C77/B77</f>
        <v>0.913273802722395</v>
      </c>
      <c r="E77" s="5" t="str">
        <f aca="false">IF(D77&gt;=0.98,"Green",IF(D77&gt;=0.95,"Amber","Red"))</f>
        <v>Red</v>
      </c>
    </row>
    <row r="78" customFormat="false" ht="15" hidden="false" customHeight="false" outlineLevel="0" collapsed="false">
      <c r="A78" s="4" t="s">
        <v>213</v>
      </c>
      <c r="B78" s="5" t="n">
        <v>318865</v>
      </c>
      <c r="C78" s="5" t="n">
        <v>287247</v>
      </c>
      <c r="D78" s="6" t="n">
        <f aca="false">C78/B78</f>
        <v>0.900842049143054</v>
      </c>
      <c r="E78" s="5" t="str">
        <f aca="false">IF(D78&gt;=0.98,"Green",IF(D78&gt;=0.95,"Amber","Red"))</f>
        <v>Red</v>
      </c>
    </row>
    <row r="79" customFormat="false" ht="15" hidden="false" customHeight="false" outlineLevel="0" collapsed="false">
      <c r="A79" s="4" t="s">
        <v>215</v>
      </c>
      <c r="B79" s="5" t="n">
        <v>323366</v>
      </c>
      <c r="C79" s="5" t="n">
        <v>305095</v>
      </c>
      <c r="D79" s="6" t="n">
        <f aca="false">C79/B79</f>
        <v>0.943497461081252</v>
      </c>
      <c r="E79" s="5" t="str">
        <f aca="false">IF(D79&gt;=0.98,"Green",IF(D79&gt;=0.95,"Amber","Red"))</f>
        <v>Red</v>
      </c>
    </row>
    <row r="80" customFormat="false" ht="15" hidden="false" customHeight="false" outlineLevel="0" collapsed="false">
      <c r="A80" s="4" t="s">
        <v>217</v>
      </c>
      <c r="B80" s="5" t="n">
        <v>492672</v>
      </c>
      <c r="C80" s="5" t="n">
        <v>487351</v>
      </c>
      <c r="D80" s="6" t="n">
        <f aca="false">C80/B80</f>
        <v>0.989199710963887</v>
      </c>
      <c r="E80" s="5" t="str">
        <f aca="false">IF(D80&gt;=0.98,"Green",IF(D80&gt;=0.95,"Amber","Red"))</f>
        <v>Green</v>
      </c>
    </row>
    <row r="81" customFormat="false" ht="15" hidden="false" customHeight="false" outlineLevel="0" collapsed="false">
      <c r="A81" s="4" t="s">
        <v>219</v>
      </c>
      <c r="B81" s="5" t="n">
        <v>248798</v>
      </c>
      <c r="C81" s="5" t="n">
        <v>241807</v>
      </c>
      <c r="D81" s="6" t="n">
        <f aca="false">C81/B81</f>
        <v>0.971900899524916</v>
      </c>
      <c r="E81" s="5" t="str">
        <f aca="false">IF(D81&gt;=0.98,"Green",IF(D81&gt;=0.95,"Amber","Red"))</f>
        <v>Amber</v>
      </c>
    </row>
    <row r="82" customFormat="false" ht="15" hidden="false" customHeight="false" outlineLevel="0" collapsed="false">
      <c r="A82" s="4" t="s">
        <v>221</v>
      </c>
      <c r="B82" s="5" t="n">
        <v>492806</v>
      </c>
      <c r="C82" s="5" t="n">
        <v>461816</v>
      </c>
      <c r="D82" s="6" t="n">
        <f aca="false">C82/B82</f>
        <v>0.937115213694639</v>
      </c>
      <c r="E82" s="5" t="str">
        <f aca="false">IF(D82&gt;=0.98,"Green",IF(D82&gt;=0.95,"Amber","Red"))</f>
        <v>Red</v>
      </c>
    </row>
    <row r="83" customFormat="false" ht="15" hidden="false" customHeight="false" outlineLevel="0" collapsed="false">
      <c r="A83" s="4" t="s">
        <v>223</v>
      </c>
      <c r="B83" s="5" t="n">
        <v>170222</v>
      </c>
      <c r="C83" s="5" t="n">
        <v>166267</v>
      </c>
      <c r="D83" s="6" t="n">
        <f aca="false">C83/B83</f>
        <v>0.976765635464276</v>
      </c>
      <c r="E83" s="5" t="str">
        <f aca="false">IF(D83&gt;=0.98,"Green",IF(D83&gt;=0.95,"Amber","Red"))</f>
        <v>Amber</v>
      </c>
    </row>
    <row r="84" customFormat="false" ht="15" hidden="false" customHeight="false" outlineLevel="0" collapsed="false">
      <c r="A84" s="4" t="s">
        <v>225</v>
      </c>
      <c r="B84" s="5" t="n">
        <v>85253</v>
      </c>
      <c r="C84" s="5" t="n">
        <v>79668</v>
      </c>
      <c r="D84" s="6" t="n">
        <f aca="false">C84/B84</f>
        <v>0.934489108887664</v>
      </c>
      <c r="E84" s="5" t="str">
        <f aca="false">IF(D84&gt;=0.98,"Green",IF(D84&gt;=0.95,"Amber","Red"))</f>
        <v>Red</v>
      </c>
    </row>
    <row r="85" customFormat="false" ht="15" hidden="false" customHeight="false" outlineLevel="0" collapsed="false">
      <c r="A85" s="4" t="s">
        <v>227</v>
      </c>
      <c r="B85" s="5" t="n">
        <v>422491</v>
      </c>
      <c r="C85" s="5" t="n">
        <v>387175</v>
      </c>
      <c r="D85" s="6" t="n">
        <f aca="false">C85/B85</f>
        <v>0.916410053705286</v>
      </c>
      <c r="E85" s="5" t="str">
        <f aca="false">IF(D85&gt;=0.98,"Green",IF(D85&gt;=0.95,"Amber","Red"))</f>
        <v>Red</v>
      </c>
    </row>
    <row r="86" customFormat="false" ht="15" hidden="false" customHeight="false" outlineLevel="0" collapsed="false">
      <c r="A86" s="4" t="s">
        <v>229</v>
      </c>
      <c r="B86" s="5" t="n">
        <v>124050</v>
      </c>
      <c r="C86" s="5" t="n">
        <v>121101</v>
      </c>
      <c r="D86" s="6" t="n">
        <f aca="false">C86/B86</f>
        <v>0.976227327690447</v>
      </c>
      <c r="E86" s="5" t="str">
        <f aca="false">IF(D86&gt;=0.98,"Green",IF(D86&gt;=0.95,"Amber","Red"))</f>
        <v>Amber</v>
      </c>
    </row>
    <row r="87" customFormat="false" ht="15" hidden="false" customHeight="false" outlineLevel="0" collapsed="false">
      <c r="A87" s="4" t="s">
        <v>231</v>
      </c>
      <c r="B87" s="5" t="n">
        <v>474405</v>
      </c>
      <c r="C87" s="5" t="n">
        <v>428787</v>
      </c>
      <c r="D87" s="6" t="n">
        <f aca="false">C87/B87</f>
        <v>0.903841654282733</v>
      </c>
      <c r="E87" s="5" t="str">
        <f aca="false">IF(D87&gt;=0.98,"Green",IF(D87&gt;=0.95,"Amber","Red"))</f>
        <v>Red</v>
      </c>
    </row>
    <row r="88" customFormat="false" ht="15" hidden="false" customHeight="false" outlineLevel="0" collapsed="false">
      <c r="A88" s="4" t="s">
        <v>233</v>
      </c>
      <c r="B88" s="5" t="n">
        <v>234635</v>
      </c>
      <c r="C88" s="5" t="n">
        <v>220579</v>
      </c>
      <c r="D88" s="6" t="n">
        <f aca="false">C88/B88</f>
        <v>0.940094188846506</v>
      </c>
      <c r="E88" s="5" t="str">
        <f aca="false">IF(D88&gt;=0.98,"Green",IF(D88&gt;=0.95,"Amber","Red"))</f>
        <v>Red</v>
      </c>
    </row>
    <row r="89" customFormat="false" ht="15" hidden="false" customHeight="false" outlineLevel="0" collapsed="false">
      <c r="A89" s="4" t="s">
        <v>235</v>
      </c>
      <c r="B89" s="5" t="n">
        <v>221437</v>
      </c>
      <c r="C89" s="5" t="n">
        <v>214522</v>
      </c>
      <c r="D89" s="6" t="n">
        <f aca="false">C89/B89</f>
        <v>0.968772156414691</v>
      </c>
      <c r="E89" s="5" t="str">
        <f aca="false">IF(D89&gt;=0.98,"Green",IF(D89&gt;=0.95,"Amber","Red"))</f>
        <v>Amber</v>
      </c>
    </row>
    <row r="90" customFormat="false" ht="15" hidden="false" customHeight="false" outlineLevel="0" collapsed="false">
      <c r="A90" s="4" t="s">
        <v>237</v>
      </c>
      <c r="B90" s="5" t="n">
        <v>201572</v>
      </c>
      <c r="C90" s="5" t="n">
        <v>199299</v>
      </c>
      <c r="D90" s="6" t="n">
        <f aca="false">C90/B90</f>
        <v>0.988723632250511</v>
      </c>
      <c r="E90" s="5" t="str">
        <f aca="false">IF(D90&gt;=0.98,"Green",IF(D90&gt;=0.95,"Amber","Red"))</f>
        <v>Green</v>
      </c>
    </row>
    <row r="91" customFormat="false" ht="15" hidden="false" customHeight="false" outlineLevel="0" collapsed="false">
      <c r="A91" s="4" t="s">
        <v>239</v>
      </c>
      <c r="B91" s="5" t="n">
        <v>127707</v>
      </c>
      <c r="C91" s="5" t="n">
        <v>124208</v>
      </c>
      <c r="D91" s="6" t="n">
        <f aca="false">C91/B91</f>
        <v>0.9726013452669</v>
      </c>
      <c r="E91" s="5" t="str">
        <f aca="false">IF(D91&gt;=0.98,"Green",IF(D91&gt;=0.95,"Amber","Red"))</f>
        <v>Amber</v>
      </c>
    </row>
    <row r="92" customFormat="false" ht="15" hidden="false" customHeight="false" outlineLevel="0" collapsed="false">
      <c r="A92" s="4" t="s">
        <v>241</v>
      </c>
      <c r="B92" s="5" t="n">
        <v>178333</v>
      </c>
      <c r="C92" s="5" t="n">
        <v>172207</v>
      </c>
      <c r="D92" s="6" t="n">
        <f aca="false">C92/B92</f>
        <v>0.965648533922493</v>
      </c>
      <c r="E92" s="5" t="str">
        <f aca="false">IF(D92&gt;=0.98,"Green",IF(D92&gt;=0.95,"Amber","Red"))</f>
        <v>Amber</v>
      </c>
    </row>
    <row r="93" customFormat="false" ht="15" hidden="false" customHeight="false" outlineLevel="0" collapsed="false">
      <c r="A93" s="4" t="s">
        <v>243</v>
      </c>
      <c r="B93" s="5" t="n">
        <v>200173</v>
      </c>
      <c r="C93" s="5" t="n">
        <v>182099</v>
      </c>
      <c r="D93" s="6" t="n">
        <f aca="false">C93/B93</f>
        <v>0.909708102491345</v>
      </c>
      <c r="E93" s="5" t="str">
        <f aca="false">IF(D93&gt;=0.98,"Green",IF(D93&gt;=0.95,"Amber","Red"))</f>
        <v>Red</v>
      </c>
    </row>
    <row r="94" customFormat="false" ht="15" hidden="false" customHeight="false" outlineLevel="0" collapsed="false">
      <c r="A94" s="4" t="s">
        <v>245</v>
      </c>
      <c r="B94" s="5" t="n">
        <v>94128</v>
      </c>
      <c r="C94" s="5" t="n">
        <v>90499</v>
      </c>
      <c r="D94" s="6" t="n">
        <f aca="false">C94/B94</f>
        <v>0.961446115927248</v>
      </c>
      <c r="E94" s="5" t="str">
        <f aca="false">IF(D94&gt;=0.98,"Green",IF(D94&gt;=0.95,"Amber","Red"))</f>
        <v>Amber</v>
      </c>
    </row>
    <row r="95" customFormat="false" ht="15" hidden="false" customHeight="false" outlineLevel="0" collapsed="false">
      <c r="A95" s="4" t="s">
        <v>247</v>
      </c>
      <c r="B95" s="5" t="n">
        <v>279125</v>
      </c>
      <c r="C95" s="5" t="n">
        <v>265769</v>
      </c>
      <c r="D95" s="6" t="n">
        <f aca="false">C95/B95</f>
        <v>0.952150470219436</v>
      </c>
      <c r="E95" s="5" t="str">
        <f aca="false">IF(D95&gt;=0.98,"Green",IF(D95&gt;=0.95,"Amber","Red"))</f>
        <v>Amber</v>
      </c>
    </row>
    <row r="96" customFormat="false" ht="15" hidden="false" customHeight="false" outlineLevel="0" collapsed="false">
      <c r="A96" s="4" t="s">
        <v>249</v>
      </c>
      <c r="B96" s="5" t="n">
        <v>207926</v>
      </c>
      <c r="C96" s="5" t="n">
        <v>197627</v>
      </c>
      <c r="D96" s="6" t="n">
        <f aca="false">C96/B96</f>
        <v>0.95046795494551</v>
      </c>
      <c r="E96" s="5" t="str">
        <f aca="false">IF(D96&gt;=0.98,"Green",IF(D96&gt;=0.95,"Amber","Red"))</f>
        <v>Amber</v>
      </c>
    </row>
    <row r="97" customFormat="false" ht="15" hidden="false" customHeight="false" outlineLevel="0" collapsed="false">
      <c r="A97" s="4" t="s">
        <v>251</v>
      </c>
      <c r="B97" s="5" t="n">
        <v>292425</v>
      </c>
      <c r="C97" s="5" t="n">
        <v>269700</v>
      </c>
      <c r="D97" s="6" t="n">
        <f aca="false">C97/B97</f>
        <v>0.92228776609387</v>
      </c>
      <c r="E97" s="5" t="str">
        <f aca="false">IF(D97&gt;=0.98,"Green",IF(D97&gt;=0.95,"Amber","Red"))</f>
        <v>Red</v>
      </c>
    </row>
    <row r="98" customFormat="false" ht="15" hidden="false" customHeight="false" outlineLevel="0" collapsed="false">
      <c r="A98" s="4" t="s">
        <v>253</v>
      </c>
      <c r="B98" s="5" t="n">
        <v>439394</v>
      </c>
      <c r="C98" s="5" t="n">
        <v>401428</v>
      </c>
      <c r="D98" s="6" t="n">
        <f aca="false">C98/B98</f>
        <v>0.913594632607637</v>
      </c>
      <c r="E98" s="5" t="str">
        <f aca="false">IF(D98&gt;=0.98,"Green",IF(D98&gt;=0.95,"Amber","Red"))</f>
        <v>Red</v>
      </c>
    </row>
    <row r="99" customFormat="false" ht="15" hidden="false" customHeight="false" outlineLevel="0" collapsed="false">
      <c r="A99" s="4" t="s">
        <v>255</v>
      </c>
      <c r="B99" s="5" t="n">
        <v>239425</v>
      </c>
      <c r="C99" s="5" t="n">
        <v>231929</v>
      </c>
      <c r="D99" s="6" t="n">
        <f aca="false">C99/B99</f>
        <v>0.968691657095124</v>
      </c>
      <c r="E99" s="5" t="str">
        <f aca="false">IF(D99&gt;=0.98,"Green",IF(D99&gt;=0.95,"Amber","Red"))</f>
        <v>Amber</v>
      </c>
    </row>
    <row r="100" customFormat="false" ht="15" hidden="false" customHeight="false" outlineLevel="0" collapsed="false">
      <c r="A100" s="4" t="s">
        <v>257</v>
      </c>
      <c r="B100" s="5" t="n">
        <v>220817</v>
      </c>
      <c r="C100" s="5" t="n">
        <v>220187</v>
      </c>
      <c r="D100" s="6" t="n">
        <f aca="false">C100/B100</f>
        <v>0.997146958793933</v>
      </c>
      <c r="E100" s="5" t="str">
        <f aca="false">IF(D100&gt;=0.98,"Green",IF(D100&gt;=0.95,"Amber","Red"))</f>
        <v>Green</v>
      </c>
    </row>
    <row r="101" customFormat="false" ht="15" hidden="false" customHeight="false" outlineLevel="0" collapsed="false">
      <c r="A101" s="4" t="s">
        <v>259</v>
      </c>
      <c r="B101" s="5" t="n">
        <v>185764</v>
      </c>
      <c r="C101" s="5" t="n">
        <v>183604</v>
      </c>
      <c r="D101" s="6" t="n">
        <f aca="false">C101/B101</f>
        <v>0.988372343403458</v>
      </c>
      <c r="E101" s="5" t="str">
        <f aca="false">IF(D101&gt;=0.98,"Green",IF(D101&gt;=0.95,"Amber","Red"))</f>
        <v>Green</v>
      </c>
    </row>
    <row r="102" customFormat="false" ht="15" hidden="false" customHeight="false" outlineLevel="0" collapsed="false">
      <c r="A102" s="4" t="s">
        <v>261</v>
      </c>
      <c r="B102" s="5" t="n">
        <v>275385</v>
      </c>
      <c r="C102" s="5" t="n">
        <v>249813</v>
      </c>
      <c r="D102" s="6" t="n">
        <f aca="false">C102/B102</f>
        <v>0.907140911814369</v>
      </c>
      <c r="E102" s="5" t="str">
        <f aca="false">IF(D102&gt;=0.98,"Green",IF(D102&gt;=0.95,"Amber","Red"))</f>
        <v>Red</v>
      </c>
    </row>
    <row r="103" customFormat="false" ht="15" hidden="false" customHeight="false" outlineLevel="0" collapsed="false">
      <c r="A103" s="4" t="s">
        <v>263</v>
      </c>
      <c r="B103" s="5" t="n">
        <v>486714</v>
      </c>
      <c r="C103" s="5" t="n">
        <v>486429</v>
      </c>
      <c r="D103" s="6" t="n">
        <f aca="false">C103/B103</f>
        <v>0.99941444051332</v>
      </c>
      <c r="E103" s="5" t="str">
        <f aca="false">IF(D103&gt;=0.98,"Green",IF(D103&gt;=0.95,"Amber","Red"))</f>
        <v>Green</v>
      </c>
    </row>
    <row r="104" customFormat="false" ht="15" hidden="false" customHeight="false" outlineLevel="0" collapsed="false">
      <c r="A104" s="4" t="s">
        <v>265</v>
      </c>
      <c r="B104" s="5" t="n">
        <v>450187</v>
      </c>
      <c r="C104" s="5" t="n">
        <v>427257</v>
      </c>
      <c r="D104" s="6" t="n">
        <f aca="false">C104/B104</f>
        <v>0.949065610512965</v>
      </c>
      <c r="E104" s="5" t="str">
        <f aca="false">IF(D104&gt;=0.98,"Green",IF(D104&gt;=0.95,"Amber","Red"))</f>
        <v>Red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 t="s">
        <v>273</v>
      </c>
    </row>
    <row r="4" customFormat="false" ht="15" hidden="false" customHeight="false" outlineLevel="0" collapsed="false">
      <c r="A4" s="3" t="s">
        <v>2</v>
      </c>
      <c r="B4" s="3" t="s">
        <v>274</v>
      </c>
      <c r="C4" s="3" t="s">
        <v>275</v>
      </c>
      <c r="D4" s="3" t="s">
        <v>272</v>
      </c>
      <c r="E4" s="3" t="s">
        <v>271</v>
      </c>
    </row>
    <row r="5" customFormat="false" ht="15" hidden="false" customHeight="false" outlineLevel="0" collapsed="false">
      <c r="A5" s="4" t="s">
        <v>10</v>
      </c>
      <c r="B5" s="5" t="n">
        <v>69013</v>
      </c>
      <c r="C5" s="5" t="n">
        <v>1423</v>
      </c>
      <c r="D5" s="6" t="n">
        <f aca="false">(B5-C5)/B5</f>
        <v>0.979380696390535</v>
      </c>
      <c r="E5" s="5" t="str">
        <f aca="false">IF(D5&gt;=0.99,"Green",IF(D5&gt;=0.97,"Amber","Red"))</f>
        <v>Amber</v>
      </c>
    </row>
    <row r="6" customFormat="false" ht="15" hidden="false" customHeight="false" outlineLevel="0" collapsed="false">
      <c r="A6" s="4" t="s">
        <v>18</v>
      </c>
      <c r="B6" s="5" t="n">
        <v>162156</v>
      </c>
      <c r="C6" s="5" t="n">
        <v>5698</v>
      </c>
      <c r="D6" s="6" t="n">
        <f aca="false">(B6-C6)/B6</f>
        <v>0.964860998051259</v>
      </c>
      <c r="E6" s="5" t="str">
        <f aca="false">IF(D6&gt;=0.99,"Green",IF(D6&gt;=0.97,"Amber","Red"))</f>
        <v>Red</v>
      </c>
    </row>
    <row r="7" customFormat="false" ht="15" hidden="false" customHeight="false" outlineLevel="0" collapsed="false">
      <c r="A7" s="4" t="s">
        <v>25</v>
      </c>
      <c r="B7" s="5" t="n">
        <v>147164</v>
      </c>
      <c r="C7" s="5" t="n">
        <v>7618</v>
      </c>
      <c r="D7" s="6" t="n">
        <f aca="false">(B7-C7)/B7</f>
        <v>0.948234622597918</v>
      </c>
      <c r="E7" s="5" t="str">
        <f aca="false">IF(D7&gt;=0.99,"Green",IF(D7&gt;=0.97,"Amber","Red"))</f>
        <v>Red</v>
      </c>
    </row>
    <row r="8" customFormat="false" ht="15" hidden="false" customHeight="false" outlineLevel="0" collapsed="false">
      <c r="A8" s="4" t="s">
        <v>32</v>
      </c>
      <c r="B8" s="5" t="n">
        <v>51750</v>
      </c>
      <c r="C8" s="5" t="n">
        <v>1866</v>
      </c>
      <c r="D8" s="6" t="n">
        <f aca="false">(B8-C8)/B8</f>
        <v>0.963942028985507</v>
      </c>
      <c r="E8" s="5" t="str">
        <f aca="false">IF(D8&gt;=0.99,"Green",IF(D8&gt;=0.97,"Amber","Red"))</f>
        <v>Red</v>
      </c>
    </row>
    <row r="9" customFormat="false" ht="15" hidden="false" customHeight="false" outlineLevel="0" collapsed="false">
      <c r="A9" s="4" t="s">
        <v>40</v>
      </c>
      <c r="B9" s="5" t="n">
        <v>62349</v>
      </c>
      <c r="C9" s="5" t="n">
        <v>2267</v>
      </c>
      <c r="D9" s="6" t="n">
        <f aca="false">(B9-C9)/B9</f>
        <v>0.963640154613546</v>
      </c>
      <c r="E9" s="5" t="str">
        <f aca="false">IF(D9&gt;=0.99,"Green",IF(D9&gt;=0.97,"Amber","Red"))</f>
        <v>Red</v>
      </c>
    </row>
    <row r="10" customFormat="false" ht="15" hidden="false" customHeight="false" outlineLevel="0" collapsed="false">
      <c r="A10" s="4" t="s">
        <v>48</v>
      </c>
      <c r="B10" s="5" t="n">
        <v>37654</v>
      </c>
      <c r="C10" s="5" t="n">
        <v>1979</v>
      </c>
      <c r="D10" s="6" t="n">
        <f aca="false">(B10-C10)/B10</f>
        <v>0.947442502788548</v>
      </c>
      <c r="E10" s="5" t="str">
        <f aca="false">IF(D10&gt;=0.99,"Green",IF(D10&gt;=0.97,"Amber","Red"))</f>
        <v>Red</v>
      </c>
    </row>
    <row r="11" customFormat="false" ht="15" hidden="false" customHeight="false" outlineLevel="0" collapsed="false">
      <c r="A11" s="4" t="s">
        <v>55</v>
      </c>
      <c r="B11" s="5" t="n">
        <v>110276</v>
      </c>
      <c r="C11" s="5" t="n">
        <v>3384</v>
      </c>
      <c r="D11" s="6" t="n">
        <f aca="false">(B11-C11)/B11</f>
        <v>0.969313359207806</v>
      </c>
      <c r="E11" s="5" t="str">
        <f aca="false">IF(D11&gt;=0.99,"Green",IF(D11&gt;=0.97,"Amber","Red"))</f>
        <v>Red</v>
      </c>
    </row>
    <row r="12" customFormat="false" ht="15" hidden="false" customHeight="false" outlineLevel="0" collapsed="false">
      <c r="A12" s="4" t="s">
        <v>61</v>
      </c>
      <c r="B12" s="5" t="n">
        <v>157750</v>
      </c>
      <c r="C12" s="5" t="n">
        <v>2053</v>
      </c>
      <c r="D12" s="6" t="n">
        <f aca="false">(B12-C12)/B12</f>
        <v>0.986985736925515</v>
      </c>
      <c r="E12" s="5" t="str">
        <f aca="false">IF(D12&gt;=0.99,"Green",IF(D12&gt;=0.97,"Amber","Red"))</f>
        <v>Amber</v>
      </c>
    </row>
    <row r="13" customFormat="false" ht="15" hidden="false" customHeight="false" outlineLevel="0" collapsed="false">
      <c r="A13" s="4" t="s">
        <v>67</v>
      </c>
      <c r="B13" s="5" t="n">
        <v>174605</v>
      </c>
      <c r="C13" s="5" t="n">
        <v>6676</v>
      </c>
      <c r="D13" s="6" t="n">
        <f aca="false">(B13-C13)/B13</f>
        <v>0.961765127000945</v>
      </c>
      <c r="E13" s="5" t="str">
        <f aca="false">IF(D13&gt;=0.99,"Green",IF(D13&gt;=0.97,"Amber","Red"))</f>
        <v>Red</v>
      </c>
    </row>
    <row r="14" customFormat="false" ht="15" hidden="false" customHeight="false" outlineLevel="0" collapsed="false">
      <c r="A14" s="4" t="s">
        <v>72</v>
      </c>
      <c r="B14" s="5" t="n">
        <v>120575</v>
      </c>
      <c r="C14" s="5" t="n">
        <v>5089</v>
      </c>
      <c r="D14" s="6" t="n">
        <f aca="false">(B14-C14)/B14</f>
        <v>0.957793904208999</v>
      </c>
      <c r="E14" s="5" t="str">
        <f aca="false">IF(D14&gt;=0.99,"Green",IF(D14&gt;=0.97,"Amber","Red"))</f>
        <v>Red</v>
      </c>
    </row>
    <row r="15" customFormat="false" ht="15" hidden="false" customHeight="false" outlineLevel="0" collapsed="false">
      <c r="A15" s="4" t="s">
        <v>77</v>
      </c>
      <c r="B15" s="5" t="n">
        <v>66102</v>
      </c>
      <c r="C15" s="5" t="n">
        <v>784</v>
      </c>
      <c r="D15" s="6" t="n">
        <f aca="false">(B15-C15)/B15</f>
        <v>0.988139541920063</v>
      </c>
      <c r="E15" s="5" t="str">
        <f aca="false">IF(D15&gt;=0.99,"Green",IF(D15&gt;=0.97,"Amber","Red"))</f>
        <v>Amber</v>
      </c>
    </row>
    <row r="16" customFormat="false" ht="15" hidden="false" customHeight="false" outlineLevel="0" collapsed="false">
      <c r="A16" s="4" t="s">
        <v>80</v>
      </c>
      <c r="B16" s="5" t="n">
        <v>178355</v>
      </c>
      <c r="C16" s="5" t="n">
        <v>3604</v>
      </c>
      <c r="D16" s="6" t="n">
        <f aca="false">(B16-C16)/B16</f>
        <v>0.979793109248409</v>
      </c>
      <c r="E16" s="5" t="str">
        <f aca="false">IF(D16&gt;=0.99,"Green",IF(D16&gt;=0.97,"Amber","Red"))</f>
        <v>Amber</v>
      </c>
    </row>
    <row r="17" customFormat="false" ht="15" hidden="false" customHeight="false" outlineLevel="0" collapsed="false">
      <c r="A17" s="4" t="s">
        <v>83</v>
      </c>
      <c r="B17" s="5" t="n">
        <v>137721</v>
      </c>
      <c r="C17" s="5" t="n">
        <v>7166</v>
      </c>
      <c r="D17" s="6" t="n">
        <f aca="false">(B17-C17)/B17</f>
        <v>0.947967267156062</v>
      </c>
      <c r="E17" s="5" t="str">
        <f aca="false">IF(D17&gt;=0.99,"Green",IF(D17&gt;=0.97,"Amber","Red"))</f>
        <v>Red</v>
      </c>
    </row>
    <row r="18" customFormat="false" ht="15" hidden="false" customHeight="false" outlineLevel="0" collapsed="false">
      <c r="A18" s="4" t="s">
        <v>86</v>
      </c>
      <c r="B18" s="5" t="n">
        <v>20227</v>
      </c>
      <c r="C18" s="5" t="n">
        <v>1154</v>
      </c>
      <c r="D18" s="6" t="n">
        <f aca="false">(B18-C18)/B18</f>
        <v>0.942947545360162</v>
      </c>
      <c r="E18" s="5" t="str">
        <f aca="false">IF(D18&gt;=0.99,"Green",IF(D18&gt;=0.97,"Amber","Red"))</f>
        <v>Red</v>
      </c>
    </row>
    <row r="19" customFormat="false" ht="15" hidden="false" customHeight="false" outlineLevel="0" collapsed="false">
      <c r="A19" s="4" t="s">
        <v>89</v>
      </c>
      <c r="B19" s="5" t="n">
        <v>32470</v>
      </c>
      <c r="C19" s="5" t="n">
        <v>660</v>
      </c>
      <c r="D19" s="6" t="n">
        <f aca="false">(B19-C19)/B19</f>
        <v>0.979673544810594</v>
      </c>
      <c r="E19" s="5" t="str">
        <f aca="false">IF(D19&gt;=0.99,"Green",IF(D19&gt;=0.97,"Amber","Red"))</f>
        <v>Amber</v>
      </c>
    </row>
    <row r="20" customFormat="false" ht="15" hidden="false" customHeight="false" outlineLevel="0" collapsed="false">
      <c r="A20" s="4" t="s">
        <v>92</v>
      </c>
      <c r="B20" s="5" t="n">
        <v>86474</v>
      </c>
      <c r="C20" s="5" t="n">
        <v>4589</v>
      </c>
      <c r="D20" s="6" t="n">
        <f aca="false">(B20-C20)/B20</f>
        <v>0.946932025811227</v>
      </c>
      <c r="E20" s="5" t="str">
        <f aca="false">IF(D20&gt;=0.99,"Green",IF(D20&gt;=0.97,"Amber","Red"))</f>
        <v>Red</v>
      </c>
    </row>
    <row r="21" customFormat="false" ht="15" hidden="false" customHeight="false" outlineLevel="0" collapsed="false">
      <c r="A21" s="4" t="s">
        <v>95</v>
      </c>
      <c r="B21" s="5" t="n">
        <v>98659</v>
      </c>
      <c r="C21" s="5" t="n">
        <v>1801</v>
      </c>
      <c r="D21" s="6" t="n">
        <f aca="false">(B21-C21)/B21</f>
        <v>0.981745203174571</v>
      </c>
      <c r="E21" s="5" t="str">
        <f aca="false">IF(D21&gt;=0.99,"Green",IF(D21&gt;=0.97,"Amber","Red"))</f>
        <v>Amber</v>
      </c>
    </row>
    <row r="22" customFormat="false" ht="15" hidden="false" customHeight="false" outlineLevel="0" collapsed="false">
      <c r="A22" s="4" t="s">
        <v>98</v>
      </c>
      <c r="B22" s="5" t="n">
        <v>43754</v>
      </c>
      <c r="C22" s="5" t="n">
        <v>2366</v>
      </c>
      <c r="D22" s="6" t="n">
        <f aca="false">(B22-C22)/B22</f>
        <v>0.94592494400512</v>
      </c>
      <c r="E22" s="5" t="str">
        <f aca="false">IF(D22&gt;=0.99,"Green",IF(D22&gt;=0.97,"Amber","Red"))</f>
        <v>Red</v>
      </c>
    </row>
    <row r="23" customFormat="false" ht="15" hidden="false" customHeight="false" outlineLevel="0" collapsed="false">
      <c r="A23" s="4" t="s">
        <v>101</v>
      </c>
      <c r="B23" s="5" t="n">
        <v>172371</v>
      </c>
      <c r="C23" s="5" t="n">
        <v>533</v>
      </c>
      <c r="D23" s="6" t="n">
        <f aca="false">(B23-C23)/B23</f>
        <v>0.996907832524033</v>
      </c>
      <c r="E23" s="5" t="str">
        <f aca="false">IF(D23&gt;=0.99,"Green",IF(D23&gt;=0.97,"Amber","Red"))</f>
        <v>Green</v>
      </c>
    </row>
    <row r="24" customFormat="false" ht="15" hidden="false" customHeight="false" outlineLevel="0" collapsed="false">
      <c r="A24" s="4" t="s">
        <v>104</v>
      </c>
      <c r="B24" s="5" t="n">
        <v>105625</v>
      </c>
      <c r="C24" s="5" t="n">
        <v>5047</v>
      </c>
      <c r="D24" s="6" t="n">
        <f aca="false">(B24-C24)/B24</f>
        <v>0.95221775147929</v>
      </c>
      <c r="E24" s="5" t="str">
        <f aca="false">IF(D24&gt;=0.99,"Green",IF(D24&gt;=0.97,"Amber","Red"))</f>
        <v>Red</v>
      </c>
    </row>
    <row r="25" customFormat="false" ht="15" hidden="false" customHeight="false" outlineLevel="0" collapsed="false">
      <c r="A25" s="4" t="s">
        <v>107</v>
      </c>
      <c r="B25" s="5" t="n">
        <v>169793</v>
      </c>
      <c r="C25" s="5" t="n">
        <v>3456</v>
      </c>
      <c r="D25" s="6" t="n">
        <f aca="false">(B25-C25)/B25</f>
        <v>0.97964580400841</v>
      </c>
      <c r="E25" s="5" t="str">
        <f aca="false">IF(D25&gt;=0.99,"Green",IF(D25&gt;=0.97,"Amber","Red"))</f>
        <v>Amber</v>
      </c>
    </row>
    <row r="26" customFormat="false" ht="15" hidden="false" customHeight="false" outlineLevel="0" collapsed="false">
      <c r="A26" s="4" t="s">
        <v>109</v>
      </c>
      <c r="B26" s="5" t="n">
        <v>71161</v>
      </c>
      <c r="C26" s="5" t="n">
        <v>775</v>
      </c>
      <c r="D26" s="6" t="n">
        <f aca="false">(B26-C26)/B26</f>
        <v>0.989109203074718</v>
      </c>
      <c r="E26" s="5" t="str">
        <f aca="false">IF(D26&gt;=0.99,"Green",IF(D26&gt;=0.97,"Amber","Red"))</f>
        <v>Amber</v>
      </c>
    </row>
    <row r="27" customFormat="false" ht="15" hidden="false" customHeight="false" outlineLevel="0" collapsed="false">
      <c r="A27" s="4" t="s">
        <v>111</v>
      </c>
      <c r="B27" s="5" t="n">
        <v>132697</v>
      </c>
      <c r="C27" s="5" t="n">
        <v>7590</v>
      </c>
      <c r="D27" s="6" t="n">
        <f aca="false">(B27-C27)/B27</f>
        <v>0.942802022653112</v>
      </c>
      <c r="E27" s="5" t="str">
        <f aca="false">IF(D27&gt;=0.99,"Green",IF(D27&gt;=0.97,"Amber","Red"))</f>
        <v>Red</v>
      </c>
    </row>
    <row r="28" customFormat="false" ht="15" hidden="false" customHeight="false" outlineLevel="0" collapsed="false">
      <c r="A28" s="4" t="s">
        <v>113</v>
      </c>
      <c r="B28" s="5" t="n">
        <v>74974</v>
      </c>
      <c r="C28" s="5" t="n">
        <v>216</v>
      </c>
      <c r="D28" s="6" t="n">
        <f aca="false">(B28-C28)/B28</f>
        <v>0.997119001253768</v>
      </c>
      <c r="E28" s="5" t="str">
        <f aca="false">IF(D28&gt;=0.99,"Green",IF(D28&gt;=0.97,"Amber","Red"))</f>
        <v>Green</v>
      </c>
    </row>
    <row r="29" customFormat="false" ht="15" hidden="false" customHeight="false" outlineLevel="0" collapsed="false">
      <c r="A29" s="4" t="s">
        <v>115</v>
      </c>
      <c r="B29" s="5" t="n">
        <v>32110</v>
      </c>
      <c r="C29" s="5" t="n">
        <v>1398</v>
      </c>
      <c r="D29" s="6" t="n">
        <f aca="false">(B29-C29)/B29</f>
        <v>0.956462161320461</v>
      </c>
      <c r="E29" s="5" t="str">
        <f aca="false">IF(D29&gt;=0.99,"Green",IF(D29&gt;=0.97,"Amber","Red"))</f>
        <v>Red</v>
      </c>
    </row>
    <row r="30" customFormat="false" ht="15" hidden="false" customHeight="false" outlineLevel="0" collapsed="false">
      <c r="A30" s="4" t="s">
        <v>117</v>
      </c>
      <c r="B30" s="5" t="n">
        <v>20834</v>
      </c>
      <c r="C30" s="5" t="n">
        <v>405</v>
      </c>
      <c r="D30" s="6" t="n">
        <f aca="false">(B30-C30)/B30</f>
        <v>0.980560622060094</v>
      </c>
      <c r="E30" s="5" t="str">
        <f aca="false">IF(D30&gt;=0.99,"Green",IF(D30&gt;=0.97,"Amber","Red"))</f>
        <v>Amber</v>
      </c>
    </row>
    <row r="31" customFormat="false" ht="15" hidden="false" customHeight="false" outlineLevel="0" collapsed="false">
      <c r="A31" s="4" t="s">
        <v>119</v>
      </c>
      <c r="B31" s="5" t="n">
        <v>132988</v>
      </c>
      <c r="C31" s="5" t="n">
        <v>3570</v>
      </c>
      <c r="D31" s="6" t="n">
        <f aca="false">(B31-C31)/B31</f>
        <v>0.973155472674226</v>
      </c>
      <c r="E31" s="5" t="str">
        <f aca="false">IF(D31&gt;=0.99,"Green",IF(D31&gt;=0.97,"Amber","Red"))</f>
        <v>Amber</v>
      </c>
    </row>
    <row r="32" customFormat="false" ht="15" hidden="false" customHeight="false" outlineLevel="0" collapsed="false">
      <c r="A32" s="4" t="s">
        <v>121</v>
      </c>
      <c r="B32" s="5" t="n">
        <v>117273</v>
      </c>
      <c r="C32" s="5" t="n">
        <v>1355</v>
      </c>
      <c r="D32" s="6" t="n">
        <f aca="false">(B32-C32)/B32</f>
        <v>0.988445763304427</v>
      </c>
      <c r="E32" s="5" t="str">
        <f aca="false">IF(D32&gt;=0.99,"Green",IF(D32&gt;=0.97,"Amber","Red"))</f>
        <v>Amber</v>
      </c>
    </row>
    <row r="33" customFormat="false" ht="15" hidden="false" customHeight="false" outlineLevel="0" collapsed="false">
      <c r="A33" s="4" t="s">
        <v>123</v>
      </c>
      <c r="B33" s="5" t="n">
        <v>78625</v>
      </c>
      <c r="C33" s="5" t="n">
        <v>3670</v>
      </c>
      <c r="D33" s="6" t="n">
        <f aca="false">(B33-C33)/B33</f>
        <v>0.953322734499205</v>
      </c>
      <c r="E33" s="5" t="str">
        <f aca="false">IF(D33&gt;=0.99,"Green",IF(D33&gt;=0.97,"Amber","Red"))</f>
        <v>Red</v>
      </c>
    </row>
    <row r="34" customFormat="false" ht="15" hidden="false" customHeight="false" outlineLevel="0" collapsed="false">
      <c r="A34" s="4" t="s">
        <v>125</v>
      </c>
      <c r="B34" s="5" t="n">
        <v>84987</v>
      </c>
      <c r="C34" s="5" t="n">
        <v>3783</v>
      </c>
      <c r="D34" s="6" t="n">
        <f aca="false">(B34-C34)/B34</f>
        <v>0.955487309823855</v>
      </c>
      <c r="E34" s="5" t="str">
        <f aca="false">IF(D34&gt;=0.99,"Green",IF(D34&gt;=0.97,"Amber","Red"))</f>
        <v>Red</v>
      </c>
    </row>
    <row r="35" customFormat="false" ht="15" hidden="false" customHeight="false" outlineLevel="0" collapsed="false">
      <c r="A35" s="4" t="s">
        <v>127</v>
      </c>
      <c r="B35" s="5" t="n">
        <v>172110</v>
      </c>
      <c r="C35" s="5" t="n">
        <v>2828</v>
      </c>
      <c r="D35" s="6" t="n">
        <f aca="false">(B35-C35)/B35</f>
        <v>0.983568647957702</v>
      </c>
      <c r="E35" s="5" t="str">
        <f aca="false">IF(D35&gt;=0.99,"Green",IF(D35&gt;=0.97,"Amber","Red"))</f>
        <v>Amber</v>
      </c>
    </row>
    <row r="36" customFormat="false" ht="15" hidden="false" customHeight="false" outlineLevel="0" collapsed="false">
      <c r="A36" s="4" t="s">
        <v>129</v>
      </c>
      <c r="B36" s="5" t="n">
        <v>194934</v>
      </c>
      <c r="C36" s="5" t="n">
        <v>2734</v>
      </c>
      <c r="D36" s="6" t="n">
        <f aca="false">(B36-C36)/B36</f>
        <v>0.985974740168467</v>
      </c>
      <c r="E36" s="5" t="str">
        <f aca="false">IF(D36&gt;=0.99,"Green",IF(D36&gt;=0.97,"Amber","Red"))</f>
        <v>Amber</v>
      </c>
    </row>
    <row r="37" customFormat="false" ht="15" hidden="false" customHeight="false" outlineLevel="0" collapsed="false">
      <c r="A37" s="4" t="s">
        <v>131</v>
      </c>
      <c r="B37" s="5" t="n">
        <v>48061</v>
      </c>
      <c r="C37" s="5" t="n">
        <v>970</v>
      </c>
      <c r="D37" s="6" t="n">
        <f aca="false">(B37-C37)/B37</f>
        <v>0.979817315494892</v>
      </c>
      <c r="E37" s="5" t="str">
        <f aca="false">IF(D37&gt;=0.99,"Green",IF(D37&gt;=0.97,"Amber","Red"))</f>
        <v>Amber</v>
      </c>
    </row>
    <row r="38" customFormat="false" ht="15" hidden="false" customHeight="false" outlineLevel="0" collapsed="false">
      <c r="A38" s="4" t="s">
        <v>133</v>
      </c>
      <c r="B38" s="5" t="n">
        <v>34132</v>
      </c>
      <c r="C38" s="5" t="n">
        <v>3</v>
      </c>
      <c r="D38" s="6" t="n">
        <f aca="false">(B38-C38)/B38</f>
        <v>0.999912105941638</v>
      </c>
      <c r="E38" s="5" t="str">
        <f aca="false">IF(D38&gt;=0.99,"Green",IF(D38&gt;=0.97,"Amber","Red"))</f>
        <v>Green</v>
      </c>
    </row>
    <row r="39" customFormat="false" ht="15" hidden="false" customHeight="false" outlineLevel="0" collapsed="false">
      <c r="A39" s="4" t="s">
        <v>135</v>
      </c>
      <c r="B39" s="5" t="n">
        <v>41505</v>
      </c>
      <c r="C39" s="5" t="n">
        <v>187</v>
      </c>
      <c r="D39" s="6" t="n">
        <f aca="false">(B39-C39)/B39</f>
        <v>0.995494518732683</v>
      </c>
      <c r="E39" s="5" t="str">
        <f aca="false">IF(D39&gt;=0.99,"Green",IF(D39&gt;=0.97,"Amber","Red"))</f>
        <v>Green</v>
      </c>
    </row>
    <row r="40" customFormat="false" ht="15" hidden="false" customHeight="false" outlineLevel="0" collapsed="false">
      <c r="A40" s="4" t="s">
        <v>137</v>
      </c>
      <c r="B40" s="5" t="n">
        <v>197844</v>
      </c>
      <c r="C40" s="5" t="n">
        <v>7192</v>
      </c>
      <c r="D40" s="6" t="n">
        <f aca="false">(B40-C40)/B40</f>
        <v>0.963648126806979</v>
      </c>
      <c r="E40" s="5" t="str">
        <f aca="false">IF(D40&gt;=0.99,"Green",IF(D40&gt;=0.97,"Amber","Red"))</f>
        <v>Red</v>
      </c>
    </row>
    <row r="41" customFormat="false" ht="15" hidden="false" customHeight="false" outlineLevel="0" collapsed="false">
      <c r="A41" s="4" t="s">
        <v>139</v>
      </c>
      <c r="B41" s="5" t="n">
        <v>193745</v>
      </c>
      <c r="C41" s="5" t="n">
        <v>4629</v>
      </c>
      <c r="D41" s="6" t="n">
        <f aca="false">(B41-C41)/B41</f>
        <v>0.97610777052311</v>
      </c>
      <c r="E41" s="5" t="str">
        <f aca="false">IF(D41&gt;=0.99,"Green",IF(D41&gt;=0.97,"Amber","Red"))</f>
        <v>Amber</v>
      </c>
    </row>
    <row r="42" customFormat="false" ht="15" hidden="false" customHeight="false" outlineLevel="0" collapsed="false">
      <c r="A42" s="4" t="s">
        <v>141</v>
      </c>
      <c r="B42" s="5" t="n">
        <v>78640</v>
      </c>
      <c r="C42" s="5" t="n">
        <v>2550</v>
      </c>
      <c r="D42" s="6" t="n">
        <f aca="false">(B42-C42)/B42</f>
        <v>0.967573753814852</v>
      </c>
      <c r="E42" s="5" t="str">
        <f aca="false">IF(D42&gt;=0.99,"Green",IF(D42&gt;=0.97,"Amber","Red"))</f>
        <v>Red</v>
      </c>
    </row>
    <row r="43" customFormat="false" ht="15" hidden="false" customHeight="false" outlineLevel="0" collapsed="false">
      <c r="A43" s="4" t="s">
        <v>143</v>
      </c>
      <c r="B43" s="5" t="n">
        <v>42976</v>
      </c>
      <c r="C43" s="5" t="n">
        <v>2118</v>
      </c>
      <c r="D43" s="6" t="n">
        <f aca="false">(B43-C43)/B43</f>
        <v>0.950716679076694</v>
      </c>
      <c r="E43" s="5" t="str">
        <f aca="false">IF(D43&gt;=0.99,"Green",IF(D43&gt;=0.97,"Amber","Red"))</f>
        <v>Red</v>
      </c>
    </row>
    <row r="44" customFormat="false" ht="15" hidden="false" customHeight="false" outlineLevel="0" collapsed="false">
      <c r="A44" s="4" t="s">
        <v>145</v>
      </c>
      <c r="B44" s="5" t="n">
        <v>85487</v>
      </c>
      <c r="C44" s="5" t="n">
        <v>1791</v>
      </c>
      <c r="D44" s="6" t="n">
        <f aca="false">(B44-C44)/B44</f>
        <v>0.979049446114614</v>
      </c>
      <c r="E44" s="5" t="str">
        <f aca="false">IF(D44&gt;=0.99,"Green",IF(D44&gt;=0.97,"Amber","Red"))</f>
        <v>Amber</v>
      </c>
    </row>
    <row r="45" customFormat="false" ht="15" hidden="false" customHeight="false" outlineLevel="0" collapsed="false">
      <c r="A45" s="4" t="s">
        <v>147</v>
      </c>
      <c r="B45" s="5" t="n">
        <v>172310</v>
      </c>
      <c r="C45" s="5" t="n">
        <v>4215</v>
      </c>
      <c r="D45" s="6" t="n">
        <f aca="false">(B45-C45)/B45</f>
        <v>0.975538274040973</v>
      </c>
      <c r="E45" s="5" t="str">
        <f aca="false">IF(D45&gt;=0.99,"Green",IF(D45&gt;=0.97,"Amber","Red"))</f>
        <v>Amber</v>
      </c>
    </row>
    <row r="46" customFormat="false" ht="15" hidden="false" customHeight="false" outlineLevel="0" collapsed="false">
      <c r="A46" s="4" t="s">
        <v>149</v>
      </c>
      <c r="B46" s="5" t="n">
        <v>87073</v>
      </c>
      <c r="C46" s="5" t="n">
        <v>2102</v>
      </c>
      <c r="D46" s="6" t="n">
        <f aca="false">(B46-C46)/B46</f>
        <v>0.975859336418867</v>
      </c>
      <c r="E46" s="5" t="str">
        <f aca="false">IF(D46&gt;=0.99,"Green",IF(D46&gt;=0.97,"Amber","Red"))</f>
        <v>Amber</v>
      </c>
    </row>
    <row r="47" customFormat="false" ht="15" hidden="false" customHeight="false" outlineLevel="0" collapsed="false">
      <c r="A47" s="4" t="s">
        <v>151</v>
      </c>
      <c r="B47" s="5" t="n">
        <v>137492</v>
      </c>
      <c r="C47" s="5" t="n">
        <v>2544</v>
      </c>
      <c r="D47" s="6" t="n">
        <f aca="false">(B47-C47)/B47</f>
        <v>0.981497105286126</v>
      </c>
      <c r="E47" s="5" t="str">
        <f aca="false">IF(D47&gt;=0.99,"Green",IF(D47&gt;=0.97,"Amber","Red"))</f>
        <v>Amber</v>
      </c>
    </row>
    <row r="48" customFormat="false" ht="15" hidden="false" customHeight="false" outlineLevel="0" collapsed="false">
      <c r="A48" s="4" t="s">
        <v>153</v>
      </c>
      <c r="B48" s="5" t="n">
        <v>139771</v>
      </c>
      <c r="C48" s="5" t="n">
        <v>6481</v>
      </c>
      <c r="D48" s="6" t="n">
        <f aca="false">(B48-C48)/B48</f>
        <v>0.953631296907084</v>
      </c>
      <c r="E48" s="5" t="str">
        <f aca="false">IF(D48&gt;=0.99,"Green",IF(D48&gt;=0.97,"Amber","Red"))</f>
        <v>Red</v>
      </c>
    </row>
    <row r="49" customFormat="false" ht="15" hidden="false" customHeight="false" outlineLevel="0" collapsed="false">
      <c r="A49" s="4" t="s">
        <v>155</v>
      </c>
      <c r="B49" s="5" t="n">
        <v>88382</v>
      </c>
      <c r="C49" s="5" t="n">
        <v>1848</v>
      </c>
      <c r="D49" s="6" t="n">
        <f aca="false">(B49-C49)/B49</f>
        <v>0.979090765087914</v>
      </c>
      <c r="E49" s="5" t="str">
        <f aca="false">IF(D49&gt;=0.99,"Green",IF(D49&gt;=0.97,"Amber","Red"))</f>
        <v>Amber</v>
      </c>
    </row>
    <row r="50" customFormat="false" ht="15" hidden="false" customHeight="false" outlineLevel="0" collapsed="false">
      <c r="A50" s="4" t="s">
        <v>157</v>
      </c>
      <c r="B50" s="5" t="n">
        <v>177795</v>
      </c>
      <c r="C50" s="5" t="n">
        <v>6494</v>
      </c>
      <c r="D50" s="6" t="n">
        <f aca="false">(B50-C50)/B50</f>
        <v>0.963474788379876</v>
      </c>
      <c r="E50" s="5" t="str">
        <f aca="false">IF(D50&gt;=0.99,"Green",IF(D50&gt;=0.97,"Amber","Red"))</f>
        <v>Red</v>
      </c>
    </row>
    <row r="51" customFormat="false" ht="15" hidden="false" customHeight="false" outlineLevel="0" collapsed="false">
      <c r="A51" s="4" t="s">
        <v>159</v>
      </c>
      <c r="B51" s="5" t="n">
        <v>77671</v>
      </c>
      <c r="C51" s="5" t="n">
        <v>3407</v>
      </c>
      <c r="D51" s="6" t="n">
        <f aca="false">(B51-C51)/B51</f>
        <v>0.956135494586139</v>
      </c>
      <c r="E51" s="5" t="str">
        <f aca="false">IF(D51&gt;=0.99,"Green",IF(D51&gt;=0.97,"Amber","Red"))</f>
        <v>Red</v>
      </c>
    </row>
    <row r="52" customFormat="false" ht="15" hidden="false" customHeight="false" outlineLevel="0" collapsed="false">
      <c r="A52" s="4" t="s">
        <v>161</v>
      </c>
      <c r="B52" s="5" t="n">
        <v>187878</v>
      </c>
      <c r="C52" s="5" t="n">
        <v>6213</v>
      </c>
      <c r="D52" s="6" t="n">
        <f aca="false">(B52-C52)/B52</f>
        <v>0.966930667773768</v>
      </c>
      <c r="E52" s="5" t="str">
        <f aca="false">IF(D52&gt;=0.99,"Green",IF(D52&gt;=0.97,"Amber","Red"))</f>
        <v>Red</v>
      </c>
    </row>
    <row r="53" customFormat="false" ht="15" hidden="false" customHeight="false" outlineLevel="0" collapsed="false">
      <c r="A53" s="4" t="s">
        <v>163</v>
      </c>
      <c r="B53" s="5" t="n">
        <v>117791</v>
      </c>
      <c r="C53" s="5" t="n">
        <v>1524</v>
      </c>
      <c r="D53" s="6" t="n">
        <f aca="false">(B53-C53)/B53</f>
        <v>0.987061829851177</v>
      </c>
      <c r="E53" s="5" t="str">
        <f aca="false">IF(D53&gt;=0.99,"Green",IF(D53&gt;=0.97,"Amber","Red"))</f>
        <v>Amber</v>
      </c>
    </row>
    <row r="54" customFormat="false" ht="15" hidden="false" customHeight="false" outlineLevel="0" collapsed="false">
      <c r="A54" s="4" t="s">
        <v>165</v>
      </c>
      <c r="B54" s="5" t="n">
        <v>166595</v>
      </c>
      <c r="C54" s="5" t="n">
        <v>4179</v>
      </c>
      <c r="D54" s="6" t="n">
        <f aca="false">(B54-C54)/B54</f>
        <v>0.974915213541823</v>
      </c>
      <c r="E54" s="5" t="str">
        <f aca="false">IF(D54&gt;=0.99,"Green",IF(D54&gt;=0.97,"Amber","Red"))</f>
        <v>Amber</v>
      </c>
    </row>
    <row r="55" customFormat="false" ht="15" hidden="false" customHeight="false" outlineLevel="0" collapsed="false">
      <c r="A55" s="4" t="s">
        <v>167</v>
      </c>
      <c r="B55" s="5" t="n">
        <v>193978</v>
      </c>
      <c r="C55" s="5" t="n">
        <v>11122</v>
      </c>
      <c r="D55" s="6" t="n">
        <f aca="false">(B55-C55)/B55</f>
        <v>0.942663601026921</v>
      </c>
      <c r="E55" s="5" t="str">
        <f aca="false">IF(D55&gt;=0.99,"Green",IF(D55&gt;=0.97,"Amber","Red"))</f>
        <v>Red</v>
      </c>
    </row>
    <row r="56" customFormat="false" ht="15" hidden="false" customHeight="false" outlineLevel="0" collapsed="false">
      <c r="A56" s="4" t="s">
        <v>169</v>
      </c>
      <c r="B56" s="5" t="n">
        <v>135227</v>
      </c>
      <c r="C56" s="5" t="n">
        <v>4233</v>
      </c>
      <c r="D56" s="6" t="n">
        <f aca="false">(B56-C56)/B56</f>
        <v>0.968697079725203</v>
      </c>
      <c r="E56" s="5" t="str">
        <f aca="false">IF(D56&gt;=0.99,"Green",IF(D56&gt;=0.97,"Amber","Red"))</f>
        <v>Red</v>
      </c>
    </row>
    <row r="57" customFormat="false" ht="15" hidden="false" customHeight="false" outlineLevel="0" collapsed="false">
      <c r="A57" s="4" t="s">
        <v>171</v>
      </c>
      <c r="B57" s="5" t="n">
        <v>98780</v>
      </c>
      <c r="C57" s="5" t="n">
        <v>5060</v>
      </c>
      <c r="D57" s="6" t="n">
        <f aca="false">(B57-C57)/B57</f>
        <v>0.948775055679287</v>
      </c>
      <c r="E57" s="5" t="str">
        <f aca="false">IF(D57&gt;=0.99,"Green",IF(D57&gt;=0.97,"Amber","Red"))</f>
        <v>Red</v>
      </c>
    </row>
    <row r="58" customFormat="false" ht="15" hidden="false" customHeight="false" outlineLevel="0" collapsed="false">
      <c r="A58" s="4" t="s">
        <v>173</v>
      </c>
      <c r="B58" s="5" t="n">
        <v>113876</v>
      </c>
      <c r="C58" s="5" t="n">
        <v>1387</v>
      </c>
      <c r="D58" s="6" t="n">
        <f aca="false">(B58-C58)/B58</f>
        <v>0.987820085004742</v>
      </c>
      <c r="E58" s="5" t="str">
        <f aca="false">IF(D58&gt;=0.99,"Green",IF(D58&gt;=0.97,"Amber","Red"))</f>
        <v>Amber</v>
      </c>
    </row>
    <row r="59" customFormat="false" ht="15" hidden="false" customHeight="false" outlineLevel="0" collapsed="false">
      <c r="A59" s="4" t="s">
        <v>175</v>
      </c>
      <c r="B59" s="5" t="n">
        <v>65673</v>
      </c>
      <c r="C59" s="5" t="n">
        <v>1134</v>
      </c>
      <c r="D59" s="6" t="n">
        <f aca="false">(B59-C59)/B59</f>
        <v>0.982732629847883</v>
      </c>
      <c r="E59" s="5" t="str">
        <f aca="false">IF(D59&gt;=0.99,"Green",IF(D59&gt;=0.97,"Amber","Red"))</f>
        <v>Amber</v>
      </c>
    </row>
    <row r="60" customFormat="false" ht="15" hidden="false" customHeight="false" outlineLevel="0" collapsed="false">
      <c r="A60" s="4" t="s">
        <v>177</v>
      </c>
      <c r="B60" s="5" t="n">
        <v>97990</v>
      </c>
      <c r="C60" s="5" t="n">
        <v>294</v>
      </c>
      <c r="D60" s="6" t="n">
        <f aca="false">(B60-C60)/B60</f>
        <v>0.996999693846311</v>
      </c>
      <c r="E60" s="5" t="str">
        <f aca="false">IF(D60&gt;=0.99,"Green",IF(D60&gt;=0.97,"Amber","Red"))</f>
        <v>Green</v>
      </c>
    </row>
    <row r="61" customFormat="false" ht="15" hidden="false" customHeight="false" outlineLevel="0" collapsed="false">
      <c r="A61" s="4" t="s">
        <v>179</v>
      </c>
      <c r="B61" s="5" t="n">
        <v>132237</v>
      </c>
      <c r="C61" s="5" t="n">
        <v>5340</v>
      </c>
      <c r="D61" s="6" t="n">
        <f aca="false">(B61-C61)/B61</f>
        <v>0.959617958665124</v>
      </c>
      <c r="E61" s="5" t="str">
        <f aca="false">IF(D61&gt;=0.99,"Green",IF(D61&gt;=0.97,"Amber","Red"))</f>
        <v>Red</v>
      </c>
    </row>
    <row r="62" customFormat="false" ht="15" hidden="false" customHeight="false" outlineLevel="0" collapsed="false">
      <c r="A62" s="4" t="s">
        <v>181</v>
      </c>
      <c r="B62" s="5" t="n">
        <v>70739</v>
      </c>
      <c r="C62" s="5" t="n">
        <v>3250</v>
      </c>
      <c r="D62" s="6" t="n">
        <f aca="false">(B62-C62)/B62</f>
        <v>0.95405646107522</v>
      </c>
      <c r="E62" s="5" t="str">
        <f aca="false">IF(D62&gt;=0.99,"Green",IF(D62&gt;=0.97,"Amber","Red"))</f>
        <v>Red</v>
      </c>
    </row>
    <row r="63" customFormat="false" ht="15" hidden="false" customHeight="false" outlineLevel="0" collapsed="false">
      <c r="A63" s="4" t="s">
        <v>183</v>
      </c>
      <c r="B63" s="5" t="n">
        <v>52095</v>
      </c>
      <c r="C63" s="5" t="n">
        <v>1253</v>
      </c>
      <c r="D63" s="6" t="n">
        <f aca="false">(B63-C63)/B63</f>
        <v>0.975947787695556</v>
      </c>
      <c r="E63" s="5" t="str">
        <f aca="false">IF(D63&gt;=0.99,"Green",IF(D63&gt;=0.97,"Amber","Red"))</f>
        <v>Amber</v>
      </c>
    </row>
    <row r="64" customFormat="false" ht="15" hidden="false" customHeight="false" outlineLevel="0" collapsed="false">
      <c r="A64" s="4" t="s">
        <v>185</v>
      </c>
      <c r="B64" s="5" t="n">
        <v>122441</v>
      </c>
      <c r="C64" s="5" t="n">
        <v>708</v>
      </c>
      <c r="D64" s="6" t="n">
        <f aca="false">(B64-C64)/B64</f>
        <v>0.994217623181777</v>
      </c>
      <c r="E64" s="5" t="str">
        <f aca="false">IF(D64&gt;=0.99,"Green",IF(D64&gt;=0.97,"Amber","Red"))</f>
        <v>Green</v>
      </c>
    </row>
    <row r="65" customFormat="false" ht="15" hidden="false" customHeight="false" outlineLevel="0" collapsed="false">
      <c r="A65" s="4" t="s">
        <v>187</v>
      </c>
      <c r="B65" s="5" t="n">
        <v>141020</v>
      </c>
      <c r="C65" s="5" t="n">
        <v>5026</v>
      </c>
      <c r="D65" s="6" t="n">
        <f aca="false">(B65-C65)/B65</f>
        <v>0.964359665295703</v>
      </c>
      <c r="E65" s="5" t="str">
        <f aca="false">IF(D65&gt;=0.99,"Green",IF(D65&gt;=0.97,"Amber","Red"))</f>
        <v>Red</v>
      </c>
    </row>
    <row r="66" customFormat="false" ht="15" hidden="false" customHeight="false" outlineLevel="0" collapsed="false">
      <c r="A66" s="4" t="s">
        <v>189</v>
      </c>
      <c r="B66" s="5" t="n">
        <v>80696</v>
      </c>
      <c r="C66" s="5" t="n">
        <v>259</v>
      </c>
      <c r="D66" s="6" t="n">
        <f aca="false">(B66-C66)/B66</f>
        <v>0.996790423317141</v>
      </c>
      <c r="E66" s="5" t="str">
        <f aca="false">IF(D66&gt;=0.99,"Green",IF(D66&gt;=0.97,"Amber","Red"))</f>
        <v>Green</v>
      </c>
    </row>
    <row r="67" customFormat="false" ht="15" hidden="false" customHeight="false" outlineLevel="0" collapsed="false">
      <c r="A67" s="4" t="s">
        <v>191</v>
      </c>
      <c r="B67" s="5" t="n">
        <v>167382</v>
      </c>
      <c r="C67" s="5" t="n">
        <v>4957</v>
      </c>
      <c r="D67" s="6" t="n">
        <f aca="false">(B67-C67)/B67</f>
        <v>0.97038510712024</v>
      </c>
      <c r="E67" s="5" t="str">
        <f aca="false">IF(D67&gt;=0.99,"Green",IF(D67&gt;=0.97,"Amber","Red"))</f>
        <v>Amber</v>
      </c>
    </row>
    <row r="68" customFormat="false" ht="15" hidden="false" customHeight="false" outlineLevel="0" collapsed="false">
      <c r="A68" s="4" t="s">
        <v>193</v>
      </c>
      <c r="B68" s="5" t="n">
        <v>162455</v>
      </c>
      <c r="C68" s="5" t="n">
        <v>6673</v>
      </c>
      <c r="D68" s="6" t="n">
        <f aca="false">(B68-C68)/B68</f>
        <v>0.95892400972577</v>
      </c>
      <c r="E68" s="5" t="str">
        <f aca="false">IF(D68&gt;=0.99,"Green",IF(D68&gt;=0.97,"Amber","Red"))</f>
        <v>Red</v>
      </c>
    </row>
    <row r="69" customFormat="false" ht="15" hidden="false" customHeight="false" outlineLevel="0" collapsed="false">
      <c r="A69" s="4" t="s">
        <v>195</v>
      </c>
      <c r="B69" s="5" t="n">
        <v>179095</v>
      </c>
      <c r="C69" s="5" t="n">
        <v>2337</v>
      </c>
      <c r="D69" s="6" t="n">
        <f aca="false">(B69-C69)/B69</f>
        <v>0.986951059493565</v>
      </c>
      <c r="E69" s="5" t="str">
        <f aca="false">IF(D69&gt;=0.99,"Green",IF(D69&gt;=0.97,"Amber","Red"))</f>
        <v>Amber</v>
      </c>
    </row>
    <row r="70" customFormat="false" ht="15" hidden="false" customHeight="false" outlineLevel="0" collapsed="false">
      <c r="A70" s="4" t="s">
        <v>197</v>
      </c>
      <c r="B70" s="5" t="n">
        <v>48076</v>
      </c>
      <c r="C70" s="5" t="n">
        <v>168</v>
      </c>
      <c r="D70" s="6" t="n">
        <f aca="false">(B70-C70)/B70</f>
        <v>0.996505532906232</v>
      </c>
      <c r="E70" s="5" t="str">
        <f aca="false">IF(D70&gt;=0.99,"Green",IF(D70&gt;=0.97,"Amber","Red"))</f>
        <v>Green</v>
      </c>
    </row>
    <row r="71" customFormat="false" ht="15" hidden="false" customHeight="false" outlineLevel="0" collapsed="false">
      <c r="A71" s="4" t="s">
        <v>199</v>
      </c>
      <c r="B71" s="5" t="n">
        <v>148978</v>
      </c>
      <c r="C71" s="5" t="n">
        <v>4670</v>
      </c>
      <c r="D71" s="6" t="n">
        <f aca="false">(B71-C71)/B71</f>
        <v>0.968653089717945</v>
      </c>
      <c r="E71" s="5" t="str">
        <f aca="false">IF(D71&gt;=0.99,"Green",IF(D71&gt;=0.97,"Amber","Red"))</f>
        <v>Red</v>
      </c>
    </row>
    <row r="72" customFormat="false" ht="15" hidden="false" customHeight="false" outlineLevel="0" collapsed="false">
      <c r="A72" s="4" t="s">
        <v>201</v>
      </c>
      <c r="B72" s="5" t="n">
        <v>175483</v>
      </c>
      <c r="C72" s="5" t="n">
        <v>3236</v>
      </c>
      <c r="D72" s="6" t="n">
        <f aca="false">(B72-C72)/B72</f>
        <v>0.981559467298827</v>
      </c>
      <c r="E72" s="5" t="str">
        <f aca="false">IF(D72&gt;=0.99,"Green",IF(D72&gt;=0.97,"Amber","Red"))</f>
        <v>Amber</v>
      </c>
    </row>
    <row r="73" customFormat="false" ht="15" hidden="false" customHeight="false" outlineLevel="0" collapsed="false">
      <c r="A73" s="4" t="s">
        <v>203</v>
      </c>
      <c r="B73" s="5" t="n">
        <v>199770</v>
      </c>
      <c r="C73" s="5" t="n">
        <v>3105</v>
      </c>
      <c r="D73" s="6" t="n">
        <f aca="false">(B73-C73)/B73</f>
        <v>0.984457125694549</v>
      </c>
      <c r="E73" s="5" t="str">
        <f aca="false">IF(D73&gt;=0.99,"Green",IF(D73&gt;=0.97,"Amber","Red"))</f>
        <v>Amber</v>
      </c>
    </row>
    <row r="74" customFormat="false" ht="15" hidden="false" customHeight="false" outlineLevel="0" collapsed="false">
      <c r="A74" s="4" t="s">
        <v>205</v>
      </c>
      <c r="B74" s="5" t="n">
        <v>106989</v>
      </c>
      <c r="C74" s="5" t="n">
        <v>3733</v>
      </c>
      <c r="D74" s="6" t="n">
        <f aca="false">(B74-C74)/B74</f>
        <v>0.965108562562506</v>
      </c>
      <c r="E74" s="5" t="str">
        <f aca="false">IF(D74&gt;=0.99,"Green",IF(D74&gt;=0.97,"Amber","Red"))</f>
        <v>Red</v>
      </c>
    </row>
    <row r="75" customFormat="false" ht="15" hidden="false" customHeight="false" outlineLevel="0" collapsed="false">
      <c r="A75" s="4" t="s">
        <v>207</v>
      </c>
      <c r="B75" s="5" t="n">
        <v>123136</v>
      </c>
      <c r="C75" s="5" t="n">
        <v>885</v>
      </c>
      <c r="D75" s="6" t="n">
        <f aca="false">(B75-C75)/B75</f>
        <v>0.992812824844075</v>
      </c>
      <c r="E75" s="5" t="str">
        <f aca="false">IF(D75&gt;=0.99,"Green",IF(D75&gt;=0.97,"Amber","Red"))</f>
        <v>Green</v>
      </c>
    </row>
    <row r="76" customFormat="false" ht="15" hidden="false" customHeight="false" outlineLevel="0" collapsed="false">
      <c r="A76" s="4" t="s">
        <v>209</v>
      </c>
      <c r="B76" s="5" t="n">
        <v>51644</v>
      </c>
      <c r="C76" s="5" t="n">
        <v>1427</v>
      </c>
      <c r="D76" s="6" t="n">
        <f aca="false">(B76-C76)/B76</f>
        <v>0.972368522964914</v>
      </c>
      <c r="E76" s="5" t="str">
        <f aca="false">IF(D76&gt;=0.99,"Green",IF(D76&gt;=0.97,"Amber","Red"))</f>
        <v>Amber</v>
      </c>
    </row>
    <row r="77" customFormat="false" ht="15" hidden="false" customHeight="false" outlineLevel="0" collapsed="false">
      <c r="A77" s="4" t="s">
        <v>211</v>
      </c>
      <c r="B77" s="5" t="n">
        <v>73452</v>
      </c>
      <c r="C77" s="5" t="n">
        <v>2442</v>
      </c>
      <c r="D77" s="6" t="n">
        <f aca="false">(B77-C77)/B77</f>
        <v>0.966753798398954</v>
      </c>
      <c r="E77" s="5" t="str">
        <f aca="false">IF(D77&gt;=0.99,"Green",IF(D77&gt;=0.97,"Amber","Red"))</f>
        <v>Red</v>
      </c>
    </row>
    <row r="78" customFormat="false" ht="15" hidden="false" customHeight="false" outlineLevel="0" collapsed="false">
      <c r="A78" s="4" t="s">
        <v>213</v>
      </c>
      <c r="B78" s="5" t="n">
        <v>192289</v>
      </c>
      <c r="C78" s="5" t="n">
        <v>7253</v>
      </c>
      <c r="D78" s="6" t="n">
        <f aca="false">(B78-C78)/B78</f>
        <v>0.962280733687314</v>
      </c>
      <c r="E78" s="5" t="str">
        <f aca="false">IF(D78&gt;=0.99,"Green",IF(D78&gt;=0.97,"Amber","Red"))</f>
        <v>Red</v>
      </c>
    </row>
    <row r="79" customFormat="false" ht="15" hidden="false" customHeight="false" outlineLevel="0" collapsed="false">
      <c r="A79" s="4" t="s">
        <v>215</v>
      </c>
      <c r="B79" s="5" t="n">
        <v>58175</v>
      </c>
      <c r="C79" s="5" t="n">
        <v>1934</v>
      </c>
      <c r="D79" s="6" t="n">
        <f aca="false">(B79-C79)/B79</f>
        <v>0.966755479157714</v>
      </c>
      <c r="E79" s="5" t="str">
        <f aca="false">IF(D79&gt;=0.99,"Green",IF(D79&gt;=0.97,"Amber","Red"))</f>
        <v>Red</v>
      </c>
    </row>
    <row r="80" customFormat="false" ht="15" hidden="false" customHeight="false" outlineLevel="0" collapsed="false">
      <c r="A80" s="4" t="s">
        <v>217</v>
      </c>
      <c r="B80" s="5" t="n">
        <v>153117</v>
      </c>
      <c r="C80" s="5" t="n">
        <v>1981</v>
      </c>
      <c r="D80" s="6" t="n">
        <f aca="false">(B80-C80)/B80</f>
        <v>0.987062181207835</v>
      </c>
      <c r="E80" s="5" t="str">
        <f aca="false">IF(D80&gt;=0.99,"Green",IF(D80&gt;=0.97,"Amber","Red"))</f>
        <v>Amber</v>
      </c>
    </row>
    <row r="81" customFormat="false" ht="15" hidden="false" customHeight="false" outlineLevel="0" collapsed="false">
      <c r="A81" s="4" t="s">
        <v>219</v>
      </c>
      <c r="B81" s="5" t="n">
        <v>110398</v>
      </c>
      <c r="C81" s="5" t="n">
        <v>994</v>
      </c>
      <c r="D81" s="6" t="n">
        <f aca="false">(B81-C81)/B81</f>
        <v>0.990996213699524</v>
      </c>
      <c r="E81" s="5" t="str">
        <f aca="false">IF(D81&gt;=0.99,"Green",IF(D81&gt;=0.97,"Amber","Red"))</f>
        <v>Green</v>
      </c>
    </row>
    <row r="82" customFormat="false" ht="15" hidden="false" customHeight="false" outlineLevel="0" collapsed="false">
      <c r="A82" s="4" t="s">
        <v>221</v>
      </c>
      <c r="B82" s="5" t="n">
        <v>68635</v>
      </c>
      <c r="C82" s="5" t="n">
        <v>3406</v>
      </c>
      <c r="D82" s="6" t="n">
        <f aca="false">(B82-C82)/B82</f>
        <v>0.950375173016682</v>
      </c>
      <c r="E82" s="5" t="str">
        <f aca="false">IF(D82&gt;=0.99,"Green",IF(D82&gt;=0.97,"Amber","Red"))</f>
        <v>Red</v>
      </c>
    </row>
    <row r="83" customFormat="false" ht="15" hidden="false" customHeight="false" outlineLevel="0" collapsed="false">
      <c r="A83" s="4" t="s">
        <v>223</v>
      </c>
      <c r="B83" s="5" t="n">
        <v>26759</v>
      </c>
      <c r="C83" s="5" t="n">
        <v>589</v>
      </c>
      <c r="D83" s="6" t="n">
        <f aca="false">(B83-C83)/B83</f>
        <v>0.977988714077507</v>
      </c>
      <c r="E83" s="5" t="str">
        <f aca="false">IF(D83&gt;=0.99,"Green",IF(D83&gt;=0.97,"Amber","Red"))</f>
        <v>Amber</v>
      </c>
    </row>
    <row r="84" customFormat="false" ht="15" hidden="false" customHeight="false" outlineLevel="0" collapsed="false">
      <c r="A84" s="4" t="s">
        <v>225</v>
      </c>
      <c r="B84" s="5" t="n">
        <v>89562</v>
      </c>
      <c r="C84" s="5" t="n">
        <v>617</v>
      </c>
      <c r="D84" s="6" t="n">
        <f aca="false">(B84-C84)/B84</f>
        <v>0.993110917576651</v>
      </c>
      <c r="E84" s="5" t="str">
        <f aca="false">IF(D84&gt;=0.99,"Green",IF(D84&gt;=0.97,"Amber","Red"))</f>
        <v>Green</v>
      </c>
    </row>
    <row r="85" customFormat="false" ht="15" hidden="false" customHeight="false" outlineLevel="0" collapsed="false">
      <c r="A85" s="4" t="s">
        <v>227</v>
      </c>
      <c r="B85" s="5" t="n">
        <v>70901</v>
      </c>
      <c r="C85" s="5" t="n">
        <v>2258</v>
      </c>
      <c r="D85" s="6" t="n">
        <f aca="false">(B85-C85)/B85</f>
        <v>0.968152776406539</v>
      </c>
      <c r="E85" s="5" t="str">
        <f aca="false">IF(D85&gt;=0.99,"Green",IF(D85&gt;=0.97,"Amber","Red"))</f>
        <v>Red</v>
      </c>
    </row>
    <row r="86" customFormat="false" ht="15" hidden="false" customHeight="false" outlineLevel="0" collapsed="false">
      <c r="A86" s="4" t="s">
        <v>229</v>
      </c>
      <c r="B86" s="5" t="n">
        <v>186702</v>
      </c>
      <c r="C86" s="5" t="n">
        <v>3291</v>
      </c>
      <c r="D86" s="6" t="n">
        <f aca="false">(B86-C86)/B86</f>
        <v>0.982372979400328</v>
      </c>
      <c r="E86" s="5" t="str">
        <f aca="false">IF(D86&gt;=0.99,"Green",IF(D86&gt;=0.97,"Amber","Red"))</f>
        <v>Amber</v>
      </c>
    </row>
    <row r="87" customFormat="false" ht="15" hidden="false" customHeight="false" outlineLevel="0" collapsed="false">
      <c r="A87" s="4" t="s">
        <v>231</v>
      </c>
      <c r="B87" s="5" t="n">
        <v>183924</v>
      </c>
      <c r="C87" s="5" t="n">
        <v>2089</v>
      </c>
      <c r="D87" s="6" t="n">
        <f aca="false">(B87-C87)/B87</f>
        <v>0.988642047802353</v>
      </c>
      <c r="E87" s="5" t="str">
        <f aca="false">IF(D87&gt;=0.99,"Green",IF(D87&gt;=0.97,"Amber","Red"))</f>
        <v>Amber</v>
      </c>
    </row>
    <row r="88" customFormat="false" ht="15" hidden="false" customHeight="false" outlineLevel="0" collapsed="false">
      <c r="A88" s="4" t="s">
        <v>233</v>
      </c>
      <c r="B88" s="5" t="n">
        <v>95732</v>
      </c>
      <c r="C88" s="5" t="n">
        <v>2204</v>
      </c>
      <c r="D88" s="6" t="n">
        <f aca="false">(B88-C88)/B88</f>
        <v>0.976977395228346</v>
      </c>
      <c r="E88" s="5" t="str">
        <f aca="false">IF(D88&gt;=0.99,"Green",IF(D88&gt;=0.97,"Amber","Red"))</f>
        <v>Amber</v>
      </c>
    </row>
    <row r="89" customFormat="false" ht="15" hidden="false" customHeight="false" outlineLevel="0" collapsed="false">
      <c r="A89" s="4" t="s">
        <v>235</v>
      </c>
      <c r="B89" s="5" t="n">
        <v>159501</v>
      </c>
      <c r="C89" s="5" t="n">
        <v>827</v>
      </c>
      <c r="D89" s="6" t="n">
        <f aca="false">(B89-C89)/B89</f>
        <v>0.994815079529282</v>
      </c>
      <c r="E89" s="5" t="str">
        <f aca="false">IF(D89&gt;=0.99,"Green",IF(D89&gt;=0.97,"Amber","Red"))</f>
        <v>Green</v>
      </c>
    </row>
    <row r="90" customFormat="false" ht="15" hidden="false" customHeight="false" outlineLevel="0" collapsed="false">
      <c r="A90" s="4" t="s">
        <v>237</v>
      </c>
      <c r="B90" s="5" t="n">
        <v>125733</v>
      </c>
      <c r="C90" s="5" t="n">
        <v>4859</v>
      </c>
      <c r="D90" s="6" t="n">
        <f aca="false">(B90-C90)/B90</f>
        <v>0.961354616528676</v>
      </c>
      <c r="E90" s="5" t="str">
        <f aca="false">IF(D90&gt;=0.99,"Green",IF(D90&gt;=0.97,"Amber","Red"))</f>
        <v>Red</v>
      </c>
    </row>
    <row r="91" customFormat="false" ht="15" hidden="false" customHeight="false" outlineLevel="0" collapsed="false">
      <c r="A91" s="4" t="s">
        <v>239</v>
      </c>
      <c r="B91" s="5" t="n">
        <v>107986</v>
      </c>
      <c r="C91" s="5" t="n">
        <v>3998</v>
      </c>
      <c r="D91" s="6" t="n">
        <f aca="false">(B91-C91)/B91</f>
        <v>0.962976682162503</v>
      </c>
      <c r="E91" s="5" t="str">
        <f aca="false">IF(D91&gt;=0.99,"Green",IF(D91&gt;=0.97,"Amber","Red"))</f>
        <v>Red</v>
      </c>
    </row>
    <row r="92" customFormat="false" ht="15" hidden="false" customHeight="false" outlineLevel="0" collapsed="false">
      <c r="A92" s="4" t="s">
        <v>241</v>
      </c>
      <c r="B92" s="5" t="n">
        <v>150842</v>
      </c>
      <c r="C92" s="5" t="n">
        <v>7660</v>
      </c>
      <c r="D92" s="6" t="n">
        <f aca="false">(B92-C92)/B92</f>
        <v>0.949218387451771</v>
      </c>
      <c r="E92" s="5" t="str">
        <f aca="false">IF(D92&gt;=0.99,"Green",IF(D92&gt;=0.97,"Amber","Red"))</f>
        <v>Red</v>
      </c>
    </row>
    <row r="93" customFormat="false" ht="15" hidden="false" customHeight="false" outlineLevel="0" collapsed="false">
      <c r="A93" s="4" t="s">
        <v>243</v>
      </c>
      <c r="B93" s="5" t="n">
        <v>47458</v>
      </c>
      <c r="C93" s="5" t="n">
        <v>2367</v>
      </c>
      <c r="D93" s="6" t="n">
        <f aca="false">(B93-C93)/B93</f>
        <v>0.950124320451768</v>
      </c>
      <c r="E93" s="5" t="str">
        <f aca="false">IF(D93&gt;=0.99,"Green",IF(D93&gt;=0.97,"Amber","Red"))</f>
        <v>Red</v>
      </c>
    </row>
    <row r="94" customFormat="false" ht="15" hidden="false" customHeight="false" outlineLevel="0" collapsed="false">
      <c r="A94" s="4" t="s">
        <v>245</v>
      </c>
      <c r="B94" s="5" t="n">
        <v>56364</v>
      </c>
      <c r="C94" s="5" t="n">
        <v>624</v>
      </c>
      <c r="D94" s="6" t="n">
        <f aca="false">(B94-C94)/B94</f>
        <v>0.988929103683202</v>
      </c>
      <c r="E94" s="5" t="str">
        <f aca="false">IF(D94&gt;=0.99,"Green",IF(D94&gt;=0.97,"Amber","Red"))</f>
        <v>Amber</v>
      </c>
    </row>
    <row r="95" customFormat="false" ht="15" hidden="false" customHeight="false" outlineLevel="0" collapsed="false">
      <c r="A95" s="4" t="s">
        <v>247</v>
      </c>
      <c r="B95" s="5" t="n">
        <v>133585</v>
      </c>
      <c r="C95" s="5" t="n">
        <v>3734</v>
      </c>
      <c r="D95" s="6" t="n">
        <f aca="false">(B95-C95)/B95</f>
        <v>0.972047759853277</v>
      </c>
      <c r="E95" s="5" t="str">
        <f aca="false">IF(D95&gt;=0.99,"Green",IF(D95&gt;=0.97,"Amber","Red"))</f>
        <v>Amber</v>
      </c>
    </row>
    <row r="96" customFormat="false" ht="15" hidden="false" customHeight="false" outlineLevel="0" collapsed="false">
      <c r="A96" s="4" t="s">
        <v>249</v>
      </c>
      <c r="B96" s="5" t="n">
        <v>37239</v>
      </c>
      <c r="C96" s="5" t="n">
        <v>891</v>
      </c>
      <c r="D96" s="6" t="n">
        <f aca="false">(B96-C96)/B96</f>
        <v>0.97607347136067</v>
      </c>
      <c r="E96" s="5" t="str">
        <f aca="false">IF(D96&gt;=0.99,"Green",IF(D96&gt;=0.97,"Amber","Red"))</f>
        <v>Amber</v>
      </c>
    </row>
    <row r="97" customFormat="false" ht="15" hidden="false" customHeight="false" outlineLevel="0" collapsed="false">
      <c r="A97" s="4" t="s">
        <v>251</v>
      </c>
      <c r="B97" s="5" t="n">
        <v>145992</v>
      </c>
      <c r="C97" s="5" t="n">
        <v>4140</v>
      </c>
      <c r="D97" s="6" t="n">
        <f aca="false">(B97-C97)/B97</f>
        <v>0.971642281768864</v>
      </c>
      <c r="E97" s="5" t="str">
        <f aca="false">IF(D97&gt;=0.99,"Green",IF(D97&gt;=0.97,"Amber","Red"))</f>
        <v>Amber</v>
      </c>
    </row>
    <row r="98" customFormat="false" ht="15" hidden="false" customHeight="false" outlineLevel="0" collapsed="false">
      <c r="A98" s="4" t="s">
        <v>253</v>
      </c>
      <c r="B98" s="5" t="n">
        <v>104076</v>
      </c>
      <c r="C98" s="5" t="n">
        <v>2815</v>
      </c>
      <c r="D98" s="6" t="n">
        <f aca="false">(B98-C98)/B98</f>
        <v>0.972952457819286</v>
      </c>
      <c r="E98" s="5" t="str">
        <f aca="false">IF(D98&gt;=0.99,"Green",IF(D98&gt;=0.97,"Amber","Red"))</f>
        <v>Amber</v>
      </c>
    </row>
    <row r="99" customFormat="false" ht="15" hidden="false" customHeight="false" outlineLevel="0" collapsed="false">
      <c r="A99" s="4" t="s">
        <v>255</v>
      </c>
      <c r="B99" s="5" t="n">
        <v>134436</v>
      </c>
      <c r="C99" s="5" t="n">
        <v>1518</v>
      </c>
      <c r="D99" s="6" t="n">
        <f aca="false">(B99-C99)/B99</f>
        <v>0.988708381683478</v>
      </c>
      <c r="E99" s="5" t="str">
        <f aca="false">IF(D99&gt;=0.99,"Green",IF(D99&gt;=0.97,"Amber","Red"))</f>
        <v>Amber</v>
      </c>
    </row>
    <row r="100" customFormat="false" ht="15" hidden="false" customHeight="false" outlineLevel="0" collapsed="false">
      <c r="A100" s="4" t="s">
        <v>257</v>
      </c>
      <c r="B100" s="5" t="n">
        <v>146552</v>
      </c>
      <c r="C100" s="5" t="n">
        <v>2292</v>
      </c>
      <c r="D100" s="6" t="n">
        <f aca="false">(B100-C100)/B100</f>
        <v>0.984360500027294</v>
      </c>
      <c r="E100" s="5" t="str">
        <f aca="false">IF(D100&gt;=0.99,"Green",IF(D100&gt;=0.97,"Amber","Red"))</f>
        <v>Amber</v>
      </c>
    </row>
    <row r="101" customFormat="false" ht="15" hidden="false" customHeight="false" outlineLevel="0" collapsed="false">
      <c r="A101" s="4" t="s">
        <v>259</v>
      </c>
      <c r="B101" s="5" t="n">
        <v>51584</v>
      </c>
      <c r="C101" s="5" t="n">
        <v>1806</v>
      </c>
      <c r="D101" s="6" t="n">
        <f aca="false">(B101-C101)/B101</f>
        <v>0.964989143920596</v>
      </c>
      <c r="E101" s="5" t="str">
        <f aca="false">IF(D101&gt;=0.99,"Green",IF(D101&gt;=0.97,"Amber","Red"))</f>
        <v>Red</v>
      </c>
    </row>
    <row r="102" customFormat="false" ht="15" hidden="false" customHeight="false" outlineLevel="0" collapsed="false">
      <c r="A102" s="4" t="s">
        <v>261</v>
      </c>
      <c r="B102" s="5" t="n">
        <v>60559</v>
      </c>
      <c r="C102" s="5" t="n">
        <v>1791</v>
      </c>
      <c r="D102" s="6" t="n">
        <f aca="false">(B102-C102)/B102</f>
        <v>0.97042553542826</v>
      </c>
      <c r="E102" s="5" t="str">
        <f aca="false">IF(D102&gt;=0.99,"Green",IF(D102&gt;=0.97,"Amber","Red"))</f>
        <v>Amber</v>
      </c>
    </row>
    <row r="103" customFormat="false" ht="15" hidden="false" customHeight="false" outlineLevel="0" collapsed="false">
      <c r="A103" s="4" t="s">
        <v>263</v>
      </c>
      <c r="B103" s="5" t="n">
        <v>97225</v>
      </c>
      <c r="C103" s="5" t="n">
        <v>987</v>
      </c>
      <c r="D103" s="6" t="n">
        <f aca="false">(B103-C103)/B103</f>
        <v>0.989848290048856</v>
      </c>
      <c r="E103" s="5" t="str">
        <f aca="false">IF(D103&gt;=0.99,"Green",IF(D103&gt;=0.97,"Amber","Red"))</f>
        <v>Amber</v>
      </c>
    </row>
    <row r="104" customFormat="false" ht="15" hidden="false" customHeight="false" outlineLevel="0" collapsed="false">
      <c r="A104" s="4" t="s">
        <v>265</v>
      </c>
      <c r="B104" s="5" t="n">
        <v>136389</v>
      </c>
      <c r="C104" s="5" t="n">
        <v>4400</v>
      </c>
      <c r="D104" s="6" t="n">
        <f aca="false">(B104-C104)/B104</f>
        <v>0.967739333817243</v>
      </c>
      <c r="E104" s="5" t="str">
        <f aca="false">IF(D104&gt;=0.99,"Green",IF(D104&gt;=0.97,"Amber","Red"))</f>
        <v>Red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19"/>
  </cols>
  <sheetData>
    <row r="1" customFormat="false" ht="17.3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15" hidden="false" customHeight="false" outlineLevel="0" collapsed="false">
      <c r="A4" s="3" t="s">
        <v>2</v>
      </c>
      <c r="B4" s="3" t="s">
        <v>278</v>
      </c>
      <c r="C4" s="3" t="s">
        <v>279</v>
      </c>
      <c r="D4" s="3" t="s">
        <v>280</v>
      </c>
      <c r="E4" s="3" t="s">
        <v>281</v>
      </c>
    </row>
    <row r="5" customFormat="false" ht="15" hidden="false" customHeight="false" outlineLevel="0" collapsed="false">
      <c r="A5" s="4" t="s">
        <v>10</v>
      </c>
      <c r="B5" s="5" t="n">
        <v>35</v>
      </c>
      <c r="C5" s="5" t="n">
        <v>29</v>
      </c>
      <c r="D5" s="6" t="n">
        <f aca="false">C5/B5</f>
        <v>0.828571428571429</v>
      </c>
      <c r="E5" s="5" t="n">
        <v>5.5</v>
      </c>
    </row>
    <row r="6" customFormat="false" ht="15" hidden="false" customHeight="false" outlineLevel="0" collapsed="false">
      <c r="A6" s="4" t="s">
        <v>18</v>
      </c>
      <c r="B6" s="5" t="n">
        <v>25</v>
      </c>
      <c r="C6" s="5" t="n">
        <v>21</v>
      </c>
      <c r="D6" s="6" t="n">
        <f aca="false">C6/B6</f>
        <v>0.84</v>
      </c>
      <c r="E6" s="5" t="n">
        <v>0.4</v>
      </c>
    </row>
    <row r="7" customFormat="false" ht="15" hidden="false" customHeight="false" outlineLevel="0" collapsed="false">
      <c r="A7" s="4" t="s">
        <v>25</v>
      </c>
      <c r="B7" s="5" t="n">
        <v>20</v>
      </c>
      <c r="C7" s="5" t="n">
        <v>17</v>
      </c>
      <c r="D7" s="6" t="n">
        <f aca="false">C7/B7</f>
        <v>0.85</v>
      </c>
      <c r="E7" s="5" t="n">
        <v>2.3</v>
      </c>
    </row>
    <row r="8" customFormat="false" ht="15" hidden="false" customHeight="false" outlineLevel="0" collapsed="false">
      <c r="A8" s="4" t="s">
        <v>32</v>
      </c>
      <c r="B8" s="5" t="n">
        <v>59</v>
      </c>
      <c r="C8" s="5" t="n">
        <v>55</v>
      </c>
      <c r="D8" s="6" t="n">
        <f aca="false">C8/B8</f>
        <v>0.932203389830508</v>
      </c>
      <c r="E8" s="5" t="n">
        <v>3.9</v>
      </c>
    </row>
    <row r="9" customFormat="false" ht="15" hidden="false" customHeight="false" outlineLevel="0" collapsed="false">
      <c r="A9" s="4" t="s">
        <v>40</v>
      </c>
      <c r="B9" s="5" t="n">
        <v>35</v>
      </c>
      <c r="C9" s="5" t="n">
        <v>32</v>
      </c>
      <c r="D9" s="6" t="n">
        <f aca="false">C9/B9</f>
        <v>0.914285714285714</v>
      </c>
      <c r="E9" s="5" t="n">
        <v>0.9</v>
      </c>
    </row>
    <row r="10" customFormat="false" ht="15" hidden="false" customHeight="false" outlineLevel="0" collapsed="false">
      <c r="A10" s="4" t="s">
        <v>48</v>
      </c>
      <c r="B10" s="5" t="n">
        <v>120</v>
      </c>
      <c r="C10" s="5" t="n">
        <v>104</v>
      </c>
      <c r="D10" s="6" t="n">
        <f aca="false">C10/B10</f>
        <v>0.866666666666667</v>
      </c>
      <c r="E10" s="5" t="n">
        <v>2.7</v>
      </c>
    </row>
    <row r="11" customFormat="false" ht="15" hidden="false" customHeight="false" outlineLevel="0" collapsed="false">
      <c r="A11" s="4" t="s">
        <v>55</v>
      </c>
      <c r="B11" s="5" t="n">
        <v>36</v>
      </c>
      <c r="C11" s="5" t="n">
        <v>34</v>
      </c>
      <c r="D11" s="6" t="n">
        <f aca="false">C11/B11</f>
        <v>0.944444444444444</v>
      </c>
      <c r="E11" s="5" t="n">
        <v>4.7</v>
      </c>
    </row>
    <row r="12" customFormat="false" ht="15" hidden="false" customHeight="false" outlineLevel="0" collapsed="false">
      <c r="A12" s="4" t="s">
        <v>61</v>
      </c>
      <c r="B12" s="5" t="n">
        <v>20</v>
      </c>
      <c r="C12" s="5" t="n">
        <v>19</v>
      </c>
      <c r="D12" s="6" t="n">
        <f aca="false">C12/B12</f>
        <v>0.95</v>
      </c>
      <c r="E12" s="5" t="n">
        <v>0.2</v>
      </c>
    </row>
    <row r="13" customFormat="false" ht="15" hidden="false" customHeight="false" outlineLevel="0" collapsed="false">
      <c r="A13" s="4" t="s">
        <v>67</v>
      </c>
      <c r="B13" s="5" t="n">
        <v>29</v>
      </c>
      <c r="C13" s="5" t="n">
        <v>24</v>
      </c>
      <c r="D13" s="6" t="n">
        <f aca="false">C13/B13</f>
        <v>0.827586206896552</v>
      </c>
      <c r="E13" s="5" t="n">
        <v>1</v>
      </c>
    </row>
    <row r="14" customFormat="false" ht="15" hidden="false" customHeight="false" outlineLevel="0" collapsed="false">
      <c r="A14" s="4" t="s">
        <v>72</v>
      </c>
      <c r="B14" s="5" t="n">
        <v>71</v>
      </c>
      <c r="C14" s="5" t="n">
        <v>66</v>
      </c>
      <c r="D14" s="6" t="n">
        <f aca="false">C14/B14</f>
        <v>0.929577464788732</v>
      </c>
      <c r="E14" s="5" t="n">
        <v>1.9</v>
      </c>
    </row>
    <row r="15" customFormat="false" ht="15" hidden="false" customHeight="false" outlineLevel="0" collapsed="false">
      <c r="A15" s="4" t="s">
        <v>77</v>
      </c>
      <c r="B15" s="5" t="n">
        <v>108</v>
      </c>
      <c r="C15" s="5" t="n">
        <v>106</v>
      </c>
      <c r="D15" s="6" t="n">
        <f aca="false">C15/B15</f>
        <v>0.981481481481482</v>
      </c>
      <c r="E15" s="5" t="n">
        <v>3.8</v>
      </c>
    </row>
    <row r="16" customFormat="false" ht="15" hidden="false" customHeight="false" outlineLevel="0" collapsed="false">
      <c r="A16" s="4" t="s">
        <v>80</v>
      </c>
      <c r="B16" s="5" t="n">
        <v>104</v>
      </c>
      <c r="C16" s="5" t="n">
        <v>96</v>
      </c>
      <c r="D16" s="6" t="n">
        <f aca="false">C16/B16</f>
        <v>0.923076923076923</v>
      </c>
      <c r="E16" s="5" t="n">
        <v>1.7</v>
      </c>
    </row>
    <row r="17" customFormat="false" ht="15" hidden="false" customHeight="false" outlineLevel="0" collapsed="false">
      <c r="A17" s="4" t="s">
        <v>83</v>
      </c>
      <c r="B17" s="5" t="n">
        <v>95</v>
      </c>
      <c r="C17" s="5" t="n">
        <v>82</v>
      </c>
      <c r="D17" s="6" t="n">
        <f aca="false">C17/B17</f>
        <v>0.863157894736842</v>
      </c>
      <c r="E17" s="5" t="n">
        <v>1.5</v>
      </c>
    </row>
    <row r="18" customFormat="false" ht="15" hidden="false" customHeight="false" outlineLevel="0" collapsed="false">
      <c r="A18" s="4" t="s">
        <v>86</v>
      </c>
      <c r="B18" s="5" t="n">
        <v>22</v>
      </c>
      <c r="C18" s="5" t="n">
        <v>18</v>
      </c>
      <c r="D18" s="6" t="n">
        <f aca="false">C18/B18</f>
        <v>0.818181818181818</v>
      </c>
      <c r="E18" s="5" t="n">
        <v>5.8</v>
      </c>
    </row>
    <row r="19" customFormat="false" ht="15" hidden="false" customHeight="false" outlineLevel="0" collapsed="false">
      <c r="A19" s="4" t="s">
        <v>89</v>
      </c>
      <c r="B19" s="5" t="n">
        <v>37</v>
      </c>
      <c r="C19" s="5" t="n">
        <v>33</v>
      </c>
      <c r="D19" s="6" t="n">
        <f aca="false">C19/B19</f>
        <v>0.891891891891892</v>
      </c>
      <c r="E19" s="5" t="n">
        <v>3.6</v>
      </c>
    </row>
    <row r="20" customFormat="false" ht="15" hidden="false" customHeight="false" outlineLevel="0" collapsed="false">
      <c r="A20" s="4" t="s">
        <v>92</v>
      </c>
      <c r="B20" s="5" t="n">
        <v>20</v>
      </c>
      <c r="C20" s="5" t="n">
        <v>18</v>
      </c>
      <c r="D20" s="6" t="n">
        <f aca="false">C20/B20</f>
        <v>0.9</v>
      </c>
      <c r="E20" s="5" t="n">
        <v>3.5</v>
      </c>
    </row>
    <row r="21" customFormat="false" ht="15" hidden="false" customHeight="false" outlineLevel="0" collapsed="false">
      <c r="A21" s="4" t="s">
        <v>95</v>
      </c>
      <c r="B21" s="5" t="n">
        <v>89</v>
      </c>
      <c r="C21" s="5" t="n">
        <v>78</v>
      </c>
      <c r="D21" s="6" t="n">
        <f aca="false">C21/B21</f>
        <v>0.876404494382023</v>
      </c>
      <c r="E21" s="5" t="n">
        <v>0.6</v>
      </c>
    </row>
    <row r="22" customFormat="false" ht="15" hidden="false" customHeight="false" outlineLevel="0" collapsed="false">
      <c r="A22" s="4" t="s">
        <v>98</v>
      </c>
      <c r="B22" s="5" t="n">
        <v>26</v>
      </c>
      <c r="C22" s="5" t="n">
        <v>23</v>
      </c>
      <c r="D22" s="6" t="n">
        <f aca="false">C22/B22</f>
        <v>0.884615384615385</v>
      </c>
      <c r="E22" s="5" t="n">
        <v>4.8</v>
      </c>
    </row>
    <row r="23" customFormat="false" ht="15" hidden="false" customHeight="false" outlineLevel="0" collapsed="false">
      <c r="A23" s="4" t="s">
        <v>101</v>
      </c>
      <c r="B23" s="5" t="n">
        <v>115</v>
      </c>
      <c r="C23" s="5" t="n">
        <v>99</v>
      </c>
      <c r="D23" s="6" t="n">
        <f aca="false">C23/B23</f>
        <v>0.860869565217391</v>
      </c>
      <c r="E23" s="5" t="n">
        <v>4.7</v>
      </c>
    </row>
    <row r="24" customFormat="false" ht="15" hidden="false" customHeight="false" outlineLevel="0" collapsed="false">
      <c r="A24" s="4" t="s">
        <v>104</v>
      </c>
      <c r="B24" s="5" t="n">
        <v>120</v>
      </c>
      <c r="C24" s="5" t="n">
        <v>117</v>
      </c>
      <c r="D24" s="6" t="n">
        <f aca="false">C24/B24</f>
        <v>0.975</v>
      </c>
      <c r="E24" s="5" t="n">
        <v>2.4</v>
      </c>
    </row>
    <row r="25" customFormat="false" ht="15" hidden="false" customHeight="false" outlineLevel="0" collapsed="false">
      <c r="A25" s="4" t="s">
        <v>107</v>
      </c>
      <c r="B25" s="5" t="n">
        <v>115</v>
      </c>
      <c r="C25" s="5" t="n">
        <v>103</v>
      </c>
      <c r="D25" s="6" t="n">
        <f aca="false">C25/B25</f>
        <v>0.895652173913044</v>
      </c>
      <c r="E25" s="5" t="n">
        <v>2</v>
      </c>
    </row>
    <row r="26" customFormat="false" ht="15" hidden="false" customHeight="false" outlineLevel="0" collapsed="false">
      <c r="A26" s="4" t="s">
        <v>109</v>
      </c>
      <c r="B26" s="5" t="n">
        <v>41</v>
      </c>
      <c r="C26" s="5" t="n">
        <v>36</v>
      </c>
      <c r="D26" s="6" t="n">
        <f aca="false">C26/B26</f>
        <v>0.878048780487805</v>
      </c>
      <c r="E26" s="5" t="n">
        <v>3.4</v>
      </c>
    </row>
    <row r="27" customFormat="false" ht="15" hidden="false" customHeight="false" outlineLevel="0" collapsed="false">
      <c r="A27" s="4" t="s">
        <v>111</v>
      </c>
      <c r="B27" s="5" t="n">
        <v>69</v>
      </c>
      <c r="C27" s="5" t="n">
        <v>66</v>
      </c>
      <c r="D27" s="6" t="n">
        <f aca="false">C27/B27</f>
        <v>0.956521739130435</v>
      </c>
      <c r="E27" s="5" t="n">
        <v>0.3</v>
      </c>
    </row>
    <row r="28" customFormat="false" ht="15" hidden="false" customHeight="false" outlineLevel="0" collapsed="false">
      <c r="A28" s="4" t="s">
        <v>113</v>
      </c>
      <c r="B28" s="5" t="n">
        <v>97</v>
      </c>
      <c r="C28" s="5" t="n">
        <v>95</v>
      </c>
      <c r="D28" s="6" t="n">
        <f aca="false">C28/B28</f>
        <v>0.979381443298969</v>
      </c>
      <c r="E28" s="5" t="n">
        <v>3.3</v>
      </c>
    </row>
    <row r="29" customFormat="false" ht="15" hidden="false" customHeight="false" outlineLevel="0" collapsed="false">
      <c r="A29" s="4" t="s">
        <v>115</v>
      </c>
      <c r="B29" s="5" t="n">
        <v>34</v>
      </c>
      <c r="C29" s="5" t="n">
        <v>33</v>
      </c>
      <c r="D29" s="6" t="n">
        <f aca="false">C29/B29</f>
        <v>0.970588235294118</v>
      </c>
      <c r="E29" s="5" t="n">
        <v>3.7</v>
      </c>
    </row>
    <row r="30" customFormat="false" ht="15" hidden="false" customHeight="false" outlineLevel="0" collapsed="false">
      <c r="A30" s="4" t="s">
        <v>117</v>
      </c>
      <c r="B30" s="5" t="n">
        <v>101</v>
      </c>
      <c r="C30" s="5" t="n">
        <v>94</v>
      </c>
      <c r="D30" s="6" t="n">
        <f aca="false">C30/B30</f>
        <v>0.930693069306931</v>
      </c>
      <c r="E30" s="5" t="n">
        <v>0.1</v>
      </c>
    </row>
    <row r="31" customFormat="false" ht="15" hidden="false" customHeight="false" outlineLevel="0" collapsed="false">
      <c r="A31" s="4" t="s">
        <v>119</v>
      </c>
      <c r="B31" s="5" t="n">
        <v>25</v>
      </c>
      <c r="C31" s="5" t="n">
        <v>21</v>
      </c>
      <c r="D31" s="6" t="n">
        <f aca="false">C31/B31</f>
        <v>0.84</v>
      </c>
      <c r="E31" s="5" t="n">
        <v>1.8</v>
      </c>
    </row>
    <row r="32" customFormat="false" ht="15" hidden="false" customHeight="false" outlineLevel="0" collapsed="false">
      <c r="A32" s="4" t="s">
        <v>121</v>
      </c>
      <c r="B32" s="5" t="n">
        <v>42</v>
      </c>
      <c r="C32" s="5" t="n">
        <v>40</v>
      </c>
      <c r="D32" s="6" t="n">
        <f aca="false">C32/B32</f>
        <v>0.952380952380952</v>
      </c>
      <c r="E32" s="5" t="n">
        <v>0.4</v>
      </c>
    </row>
    <row r="33" customFormat="false" ht="15" hidden="false" customHeight="false" outlineLevel="0" collapsed="false">
      <c r="A33" s="4" t="s">
        <v>123</v>
      </c>
      <c r="B33" s="5" t="n">
        <v>37</v>
      </c>
      <c r="C33" s="5" t="n">
        <v>35</v>
      </c>
      <c r="D33" s="6" t="n">
        <f aca="false">C33/B33</f>
        <v>0.945945945945946</v>
      </c>
      <c r="E33" s="5" t="n">
        <v>2.3</v>
      </c>
    </row>
    <row r="34" customFormat="false" ht="15" hidden="false" customHeight="false" outlineLevel="0" collapsed="false">
      <c r="A34" s="4" t="s">
        <v>125</v>
      </c>
      <c r="B34" s="5" t="n">
        <v>55</v>
      </c>
      <c r="C34" s="5" t="n">
        <v>54</v>
      </c>
      <c r="D34" s="6" t="n">
        <f aca="false">C34/B34</f>
        <v>0.981818181818182</v>
      </c>
      <c r="E34" s="5" t="n">
        <v>4.1</v>
      </c>
    </row>
    <row r="35" customFormat="false" ht="15" hidden="false" customHeight="false" outlineLevel="0" collapsed="false">
      <c r="A35" s="4" t="s">
        <v>127</v>
      </c>
      <c r="B35" s="5" t="n">
        <v>45</v>
      </c>
      <c r="C35" s="5" t="n">
        <v>44</v>
      </c>
      <c r="D35" s="6" t="n">
        <f aca="false">C35/B35</f>
        <v>0.977777777777778</v>
      </c>
      <c r="E35" s="5" t="n">
        <v>2.9</v>
      </c>
    </row>
    <row r="36" customFormat="false" ht="15" hidden="false" customHeight="false" outlineLevel="0" collapsed="false">
      <c r="A36" s="4" t="s">
        <v>129</v>
      </c>
      <c r="B36" s="5" t="n">
        <v>112</v>
      </c>
      <c r="C36" s="5" t="n">
        <v>103</v>
      </c>
      <c r="D36" s="6" t="n">
        <f aca="false">C36/B36</f>
        <v>0.919642857142857</v>
      </c>
      <c r="E36" s="5" t="n">
        <v>0.1</v>
      </c>
    </row>
    <row r="37" customFormat="false" ht="15" hidden="false" customHeight="false" outlineLevel="0" collapsed="false">
      <c r="A37" s="4" t="s">
        <v>131</v>
      </c>
      <c r="B37" s="5" t="n">
        <v>91</v>
      </c>
      <c r="C37" s="5" t="n">
        <v>79</v>
      </c>
      <c r="D37" s="6" t="n">
        <f aca="false">C37/B37</f>
        <v>0.868131868131868</v>
      </c>
      <c r="E37" s="5" t="n">
        <v>1.8</v>
      </c>
    </row>
    <row r="38" customFormat="false" ht="15" hidden="false" customHeight="false" outlineLevel="0" collapsed="false">
      <c r="A38" s="4" t="s">
        <v>133</v>
      </c>
      <c r="B38" s="5" t="n">
        <v>61</v>
      </c>
      <c r="C38" s="5" t="n">
        <v>52</v>
      </c>
      <c r="D38" s="6" t="n">
        <f aca="false">C38/B38</f>
        <v>0.852459016393443</v>
      </c>
      <c r="E38" s="5" t="n">
        <v>3.4</v>
      </c>
    </row>
    <row r="39" customFormat="false" ht="15" hidden="false" customHeight="false" outlineLevel="0" collapsed="false">
      <c r="A39" s="4" t="s">
        <v>135</v>
      </c>
      <c r="B39" s="5" t="n">
        <v>42</v>
      </c>
      <c r="C39" s="5" t="n">
        <v>39</v>
      </c>
      <c r="D39" s="6" t="n">
        <f aca="false">C39/B39</f>
        <v>0.928571428571429</v>
      </c>
      <c r="E39" s="5" t="n">
        <v>2.4</v>
      </c>
    </row>
    <row r="40" customFormat="false" ht="15" hidden="false" customHeight="false" outlineLevel="0" collapsed="false">
      <c r="A40" s="4" t="s">
        <v>137</v>
      </c>
      <c r="B40" s="5" t="n">
        <v>44</v>
      </c>
      <c r="C40" s="5" t="n">
        <v>38</v>
      </c>
      <c r="D40" s="6" t="n">
        <f aca="false">C40/B40</f>
        <v>0.863636363636364</v>
      </c>
      <c r="E40" s="5" t="n">
        <v>1.8</v>
      </c>
    </row>
    <row r="41" customFormat="false" ht="15" hidden="false" customHeight="false" outlineLevel="0" collapsed="false">
      <c r="A41" s="4" t="s">
        <v>139</v>
      </c>
      <c r="B41" s="5" t="n">
        <v>87</v>
      </c>
      <c r="C41" s="5" t="n">
        <v>79</v>
      </c>
      <c r="D41" s="6" t="n">
        <f aca="false">C41/B41</f>
        <v>0.908045977011494</v>
      </c>
      <c r="E41" s="5" t="n">
        <v>3.4</v>
      </c>
    </row>
    <row r="42" customFormat="false" ht="15" hidden="false" customHeight="false" outlineLevel="0" collapsed="false">
      <c r="A42" s="4" t="s">
        <v>141</v>
      </c>
      <c r="B42" s="5" t="n">
        <v>32</v>
      </c>
      <c r="C42" s="5" t="n">
        <v>28</v>
      </c>
      <c r="D42" s="6" t="n">
        <f aca="false">C42/B42</f>
        <v>0.875</v>
      </c>
      <c r="E42" s="5" t="n">
        <v>2.4</v>
      </c>
    </row>
    <row r="43" customFormat="false" ht="15" hidden="false" customHeight="false" outlineLevel="0" collapsed="false">
      <c r="A43" s="4" t="s">
        <v>143</v>
      </c>
      <c r="B43" s="5" t="n">
        <v>20</v>
      </c>
      <c r="C43" s="5" t="n">
        <v>17</v>
      </c>
      <c r="D43" s="6" t="n">
        <f aca="false">C43/B43</f>
        <v>0.85</v>
      </c>
      <c r="E43" s="5" t="n">
        <v>1.4</v>
      </c>
    </row>
    <row r="44" customFormat="false" ht="15" hidden="false" customHeight="false" outlineLevel="0" collapsed="false">
      <c r="A44" s="4" t="s">
        <v>145</v>
      </c>
      <c r="B44" s="5" t="n">
        <v>106</v>
      </c>
      <c r="C44" s="5" t="n">
        <v>93</v>
      </c>
      <c r="D44" s="6" t="n">
        <f aca="false">C44/B44</f>
        <v>0.877358490566038</v>
      </c>
      <c r="E44" s="5" t="n">
        <v>2.4</v>
      </c>
    </row>
    <row r="45" customFormat="false" ht="15" hidden="false" customHeight="false" outlineLevel="0" collapsed="false">
      <c r="A45" s="4" t="s">
        <v>147</v>
      </c>
      <c r="B45" s="5" t="n">
        <v>98</v>
      </c>
      <c r="C45" s="5" t="n">
        <v>90</v>
      </c>
      <c r="D45" s="6" t="n">
        <f aca="false">C45/B45</f>
        <v>0.918367346938776</v>
      </c>
      <c r="E45" s="5" t="n">
        <v>3</v>
      </c>
    </row>
    <row r="46" customFormat="false" ht="15" hidden="false" customHeight="false" outlineLevel="0" collapsed="false">
      <c r="A46" s="4" t="s">
        <v>149</v>
      </c>
      <c r="B46" s="5" t="n">
        <v>73</v>
      </c>
      <c r="C46" s="5" t="n">
        <v>62</v>
      </c>
      <c r="D46" s="6" t="n">
        <f aca="false">C46/B46</f>
        <v>0.849315068493151</v>
      </c>
      <c r="E46" s="5" t="n">
        <v>4.8</v>
      </c>
    </row>
    <row r="47" customFormat="false" ht="15" hidden="false" customHeight="false" outlineLevel="0" collapsed="false">
      <c r="A47" s="4" t="s">
        <v>151</v>
      </c>
      <c r="B47" s="5" t="n">
        <v>59</v>
      </c>
      <c r="C47" s="5" t="n">
        <v>51</v>
      </c>
      <c r="D47" s="6" t="n">
        <f aca="false">C47/B47</f>
        <v>0.864406779661017</v>
      </c>
      <c r="E47" s="5" t="n">
        <v>5</v>
      </c>
    </row>
    <row r="48" customFormat="false" ht="15" hidden="false" customHeight="false" outlineLevel="0" collapsed="false">
      <c r="A48" s="4" t="s">
        <v>153</v>
      </c>
      <c r="B48" s="5" t="n">
        <v>34</v>
      </c>
      <c r="C48" s="5" t="n">
        <v>32</v>
      </c>
      <c r="D48" s="6" t="n">
        <f aca="false">C48/B48</f>
        <v>0.941176470588235</v>
      </c>
      <c r="E48" s="5" t="n">
        <v>0.2</v>
      </c>
    </row>
    <row r="49" customFormat="false" ht="15" hidden="false" customHeight="false" outlineLevel="0" collapsed="false">
      <c r="A49" s="4" t="s">
        <v>155</v>
      </c>
      <c r="B49" s="5" t="n">
        <v>60</v>
      </c>
      <c r="C49" s="5" t="n">
        <v>51</v>
      </c>
      <c r="D49" s="6" t="n">
        <f aca="false">C49/B49</f>
        <v>0.85</v>
      </c>
      <c r="E49" s="5" t="n">
        <v>5.4</v>
      </c>
    </row>
    <row r="50" customFormat="false" ht="15" hidden="false" customHeight="false" outlineLevel="0" collapsed="false">
      <c r="A50" s="4" t="s">
        <v>157</v>
      </c>
      <c r="B50" s="5" t="n">
        <v>113</v>
      </c>
      <c r="C50" s="5" t="n">
        <v>99</v>
      </c>
      <c r="D50" s="6" t="n">
        <f aca="false">C50/B50</f>
        <v>0.876106194690266</v>
      </c>
      <c r="E50" s="5" t="n">
        <v>2.4</v>
      </c>
    </row>
    <row r="51" customFormat="false" ht="15" hidden="false" customHeight="false" outlineLevel="0" collapsed="false">
      <c r="A51" s="4" t="s">
        <v>159</v>
      </c>
      <c r="B51" s="5" t="n">
        <v>78</v>
      </c>
      <c r="C51" s="5" t="n">
        <v>68</v>
      </c>
      <c r="D51" s="6" t="n">
        <f aca="false">C51/B51</f>
        <v>0.871794871794872</v>
      </c>
      <c r="E51" s="5" t="n">
        <v>4.6</v>
      </c>
    </row>
    <row r="52" customFormat="false" ht="15" hidden="false" customHeight="false" outlineLevel="0" collapsed="false">
      <c r="A52" s="4" t="s">
        <v>161</v>
      </c>
      <c r="B52" s="5" t="n">
        <v>114</v>
      </c>
      <c r="C52" s="5" t="n">
        <v>100</v>
      </c>
      <c r="D52" s="6" t="n">
        <f aca="false">C52/B52</f>
        <v>0.87719298245614</v>
      </c>
      <c r="E52" s="5" t="n">
        <v>0.6</v>
      </c>
    </row>
    <row r="53" customFormat="false" ht="15" hidden="false" customHeight="false" outlineLevel="0" collapsed="false">
      <c r="A53" s="4" t="s">
        <v>163</v>
      </c>
      <c r="B53" s="5" t="n">
        <v>110</v>
      </c>
      <c r="C53" s="5" t="n">
        <v>108</v>
      </c>
      <c r="D53" s="6" t="n">
        <f aca="false">C53/B53</f>
        <v>0.981818181818182</v>
      </c>
      <c r="E53" s="5" t="n">
        <v>2.9</v>
      </c>
    </row>
    <row r="54" customFormat="false" ht="15" hidden="false" customHeight="false" outlineLevel="0" collapsed="false">
      <c r="A54" s="4" t="s">
        <v>165</v>
      </c>
      <c r="B54" s="5" t="n">
        <v>51</v>
      </c>
      <c r="C54" s="5" t="n">
        <v>48</v>
      </c>
      <c r="D54" s="6" t="n">
        <f aca="false">C54/B54</f>
        <v>0.941176470588235</v>
      </c>
      <c r="E54" s="5" t="n">
        <v>2.2</v>
      </c>
    </row>
    <row r="55" customFormat="false" ht="15" hidden="false" customHeight="false" outlineLevel="0" collapsed="false">
      <c r="A55" s="4" t="s">
        <v>167</v>
      </c>
      <c r="B55" s="5" t="n">
        <v>73</v>
      </c>
      <c r="C55" s="5" t="n">
        <v>70</v>
      </c>
      <c r="D55" s="6" t="n">
        <f aca="false">C55/B55</f>
        <v>0.958904109589041</v>
      </c>
      <c r="E55" s="5" t="n">
        <v>1.4</v>
      </c>
    </row>
    <row r="56" customFormat="false" ht="15" hidden="false" customHeight="false" outlineLevel="0" collapsed="false">
      <c r="A56" s="4" t="s">
        <v>169</v>
      </c>
      <c r="B56" s="5" t="n">
        <v>39</v>
      </c>
      <c r="C56" s="5" t="n">
        <v>38</v>
      </c>
      <c r="D56" s="6" t="n">
        <f aca="false">C56/B56</f>
        <v>0.974358974358974</v>
      </c>
      <c r="E56" s="5" t="n">
        <v>5</v>
      </c>
    </row>
    <row r="57" customFormat="false" ht="15" hidden="false" customHeight="false" outlineLevel="0" collapsed="false">
      <c r="A57" s="4" t="s">
        <v>171</v>
      </c>
      <c r="B57" s="5" t="n">
        <v>37</v>
      </c>
      <c r="C57" s="5" t="n">
        <v>35</v>
      </c>
      <c r="D57" s="6" t="n">
        <f aca="false">C57/B57</f>
        <v>0.945945945945946</v>
      </c>
      <c r="E57" s="5" t="n">
        <v>4.1</v>
      </c>
    </row>
    <row r="58" customFormat="false" ht="15" hidden="false" customHeight="false" outlineLevel="0" collapsed="false">
      <c r="A58" s="4" t="s">
        <v>173</v>
      </c>
      <c r="B58" s="5" t="n">
        <v>82</v>
      </c>
      <c r="C58" s="5" t="n">
        <v>77</v>
      </c>
      <c r="D58" s="6" t="n">
        <f aca="false">C58/B58</f>
        <v>0.939024390243902</v>
      </c>
      <c r="E58" s="5" t="n">
        <v>4.4</v>
      </c>
    </row>
    <row r="59" customFormat="false" ht="15" hidden="false" customHeight="false" outlineLevel="0" collapsed="false">
      <c r="A59" s="4" t="s">
        <v>175</v>
      </c>
      <c r="B59" s="5" t="n">
        <v>52</v>
      </c>
      <c r="C59" s="5" t="n">
        <v>44</v>
      </c>
      <c r="D59" s="6" t="n">
        <f aca="false">C59/B59</f>
        <v>0.846153846153846</v>
      </c>
      <c r="E59" s="5" t="n">
        <v>1.4</v>
      </c>
    </row>
    <row r="60" customFormat="false" ht="15" hidden="false" customHeight="false" outlineLevel="0" collapsed="false">
      <c r="A60" s="4" t="s">
        <v>177</v>
      </c>
      <c r="B60" s="5" t="n">
        <v>53</v>
      </c>
      <c r="C60" s="5" t="n">
        <v>52</v>
      </c>
      <c r="D60" s="6" t="n">
        <f aca="false">C60/B60</f>
        <v>0.981132075471698</v>
      </c>
      <c r="E60" s="5" t="n">
        <v>4.6</v>
      </c>
    </row>
    <row r="61" customFormat="false" ht="15" hidden="false" customHeight="false" outlineLevel="0" collapsed="false">
      <c r="A61" s="4" t="s">
        <v>179</v>
      </c>
      <c r="B61" s="5" t="n">
        <v>90</v>
      </c>
      <c r="C61" s="5" t="n">
        <v>87</v>
      </c>
      <c r="D61" s="6" t="n">
        <f aca="false">C61/B61</f>
        <v>0.966666666666667</v>
      </c>
      <c r="E61" s="5" t="n">
        <v>5.2</v>
      </c>
    </row>
    <row r="62" customFormat="false" ht="15" hidden="false" customHeight="false" outlineLevel="0" collapsed="false">
      <c r="A62" s="4" t="s">
        <v>181</v>
      </c>
      <c r="B62" s="5" t="n">
        <v>50</v>
      </c>
      <c r="C62" s="5" t="n">
        <v>45</v>
      </c>
      <c r="D62" s="6" t="n">
        <f aca="false">C62/B62</f>
        <v>0.9</v>
      </c>
      <c r="E62" s="5" t="n">
        <v>4.4</v>
      </c>
    </row>
    <row r="63" customFormat="false" ht="15" hidden="false" customHeight="false" outlineLevel="0" collapsed="false">
      <c r="A63" s="4" t="s">
        <v>183</v>
      </c>
      <c r="B63" s="5" t="n">
        <v>30</v>
      </c>
      <c r="C63" s="5" t="n">
        <v>27</v>
      </c>
      <c r="D63" s="6" t="n">
        <f aca="false">C63/B63</f>
        <v>0.9</v>
      </c>
      <c r="E63" s="5" t="n">
        <v>1.2</v>
      </c>
    </row>
    <row r="64" customFormat="false" ht="15" hidden="false" customHeight="false" outlineLevel="0" collapsed="false">
      <c r="A64" s="4" t="s">
        <v>185</v>
      </c>
      <c r="B64" s="5" t="n">
        <v>79</v>
      </c>
      <c r="C64" s="5" t="n">
        <v>68</v>
      </c>
      <c r="D64" s="6" t="n">
        <f aca="false">C64/B64</f>
        <v>0.860759493670886</v>
      </c>
      <c r="E64" s="5" t="n">
        <v>1.4</v>
      </c>
    </row>
    <row r="65" customFormat="false" ht="15" hidden="false" customHeight="false" outlineLevel="0" collapsed="false">
      <c r="A65" s="4" t="s">
        <v>187</v>
      </c>
      <c r="B65" s="5" t="n">
        <v>115</v>
      </c>
      <c r="C65" s="5" t="n">
        <v>107</v>
      </c>
      <c r="D65" s="6" t="n">
        <f aca="false">C65/B65</f>
        <v>0.930434782608696</v>
      </c>
      <c r="E65" s="5" t="n">
        <v>2.6</v>
      </c>
    </row>
    <row r="66" customFormat="false" ht="15" hidden="false" customHeight="false" outlineLevel="0" collapsed="false">
      <c r="A66" s="4" t="s">
        <v>189</v>
      </c>
      <c r="B66" s="5" t="n">
        <v>28</v>
      </c>
      <c r="C66" s="5" t="n">
        <v>27</v>
      </c>
      <c r="D66" s="6" t="n">
        <f aca="false">C66/B66</f>
        <v>0.964285714285714</v>
      </c>
      <c r="E66" s="5" t="n">
        <v>1.2</v>
      </c>
    </row>
    <row r="67" customFormat="false" ht="15" hidden="false" customHeight="false" outlineLevel="0" collapsed="false">
      <c r="A67" s="4" t="s">
        <v>191</v>
      </c>
      <c r="B67" s="5" t="n">
        <v>67</v>
      </c>
      <c r="C67" s="5" t="n">
        <v>60</v>
      </c>
      <c r="D67" s="6" t="n">
        <f aca="false">C67/B67</f>
        <v>0.895522388059702</v>
      </c>
      <c r="E67" s="5" t="n">
        <v>0.7</v>
      </c>
    </row>
    <row r="68" customFormat="false" ht="15" hidden="false" customHeight="false" outlineLevel="0" collapsed="false">
      <c r="A68" s="4" t="s">
        <v>193</v>
      </c>
      <c r="B68" s="5" t="n">
        <v>41</v>
      </c>
      <c r="C68" s="5" t="n">
        <v>36</v>
      </c>
      <c r="D68" s="6" t="n">
        <f aca="false">C68/B68</f>
        <v>0.878048780487805</v>
      </c>
      <c r="E68" s="5" t="n">
        <v>0.1</v>
      </c>
    </row>
    <row r="69" customFormat="false" ht="15" hidden="false" customHeight="false" outlineLevel="0" collapsed="false">
      <c r="A69" s="4" t="s">
        <v>195</v>
      </c>
      <c r="B69" s="5" t="n">
        <v>77</v>
      </c>
      <c r="C69" s="5" t="n">
        <v>70</v>
      </c>
      <c r="D69" s="6" t="n">
        <f aca="false">C69/B69</f>
        <v>0.909090909090909</v>
      </c>
      <c r="E69" s="5" t="n">
        <v>1.4</v>
      </c>
    </row>
    <row r="70" customFormat="false" ht="15" hidden="false" customHeight="false" outlineLevel="0" collapsed="false">
      <c r="A70" s="4" t="s">
        <v>197</v>
      </c>
      <c r="B70" s="5" t="n">
        <v>107</v>
      </c>
      <c r="C70" s="5" t="n">
        <v>97</v>
      </c>
      <c r="D70" s="6" t="n">
        <f aca="false">C70/B70</f>
        <v>0.906542056074766</v>
      </c>
      <c r="E70" s="5" t="n">
        <v>1.5</v>
      </c>
    </row>
    <row r="71" customFormat="false" ht="15" hidden="false" customHeight="false" outlineLevel="0" collapsed="false">
      <c r="A71" s="4" t="s">
        <v>199</v>
      </c>
      <c r="B71" s="5" t="n">
        <v>73</v>
      </c>
      <c r="C71" s="5" t="n">
        <v>66</v>
      </c>
      <c r="D71" s="6" t="n">
        <f aca="false">C71/B71</f>
        <v>0.904109589041096</v>
      </c>
      <c r="E71" s="5" t="n">
        <v>1.7</v>
      </c>
    </row>
    <row r="72" customFormat="false" ht="15" hidden="false" customHeight="false" outlineLevel="0" collapsed="false">
      <c r="A72" s="4" t="s">
        <v>201</v>
      </c>
      <c r="B72" s="5" t="n">
        <v>88</v>
      </c>
      <c r="C72" s="5" t="n">
        <v>75</v>
      </c>
      <c r="D72" s="6" t="n">
        <f aca="false">C72/B72</f>
        <v>0.852272727272727</v>
      </c>
      <c r="E72" s="5" t="n">
        <v>0.4</v>
      </c>
    </row>
    <row r="73" customFormat="false" ht="15" hidden="false" customHeight="false" outlineLevel="0" collapsed="false">
      <c r="A73" s="4" t="s">
        <v>203</v>
      </c>
      <c r="B73" s="5" t="n">
        <v>113</v>
      </c>
      <c r="C73" s="5" t="n">
        <v>107</v>
      </c>
      <c r="D73" s="6" t="n">
        <f aca="false">C73/B73</f>
        <v>0.946902654867257</v>
      </c>
      <c r="E73" s="5" t="n">
        <v>0.8</v>
      </c>
    </row>
    <row r="74" customFormat="false" ht="15" hidden="false" customHeight="false" outlineLevel="0" collapsed="false">
      <c r="A74" s="4" t="s">
        <v>205</v>
      </c>
      <c r="B74" s="5" t="n">
        <v>109</v>
      </c>
      <c r="C74" s="5" t="n">
        <v>97</v>
      </c>
      <c r="D74" s="6" t="n">
        <f aca="false">C74/B74</f>
        <v>0.889908256880734</v>
      </c>
      <c r="E74" s="5" t="n">
        <v>5.8</v>
      </c>
    </row>
    <row r="75" customFormat="false" ht="15" hidden="false" customHeight="false" outlineLevel="0" collapsed="false">
      <c r="A75" s="4" t="s">
        <v>207</v>
      </c>
      <c r="B75" s="5" t="n">
        <v>102</v>
      </c>
      <c r="C75" s="5" t="n">
        <v>91</v>
      </c>
      <c r="D75" s="6" t="n">
        <f aca="false">C75/B75</f>
        <v>0.892156862745098</v>
      </c>
      <c r="E75" s="5" t="n">
        <v>5.6</v>
      </c>
    </row>
    <row r="76" customFormat="false" ht="15" hidden="false" customHeight="false" outlineLevel="0" collapsed="false">
      <c r="A76" s="4" t="s">
        <v>209</v>
      </c>
      <c r="B76" s="5" t="n">
        <v>27</v>
      </c>
      <c r="C76" s="5" t="n">
        <v>24</v>
      </c>
      <c r="D76" s="6" t="n">
        <f aca="false">C76/B76</f>
        <v>0.888888888888889</v>
      </c>
      <c r="E76" s="5" t="n">
        <v>0.9</v>
      </c>
    </row>
    <row r="77" customFormat="false" ht="15" hidden="false" customHeight="false" outlineLevel="0" collapsed="false">
      <c r="A77" s="4" t="s">
        <v>211</v>
      </c>
      <c r="B77" s="5" t="n">
        <v>51</v>
      </c>
      <c r="C77" s="5" t="n">
        <v>45</v>
      </c>
      <c r="D77" s="6" t="n">
        <f aca="false">C77/B77</f>
        <v>0.882352941176471</v>
      </c>
      <c r="E77" s="5" t="n">
        <v>0.2</v>
      </c>
    </row>
    <row r="78" customFormat="false" ht="15" hidden="false" customHeight="false" outlineLevel="0" collapsed="false">
      <c r="A78" s="4" t="s">
        <v>213</v>
      </c>
      <c r="B78" s="5" t="n">
        <v>81</v>
      </c>
      <c r="C78" s="5" t="n">
        <v>76</v>
      </c>
      <c r="D78" s="6" t="n">
        <f aca="false">C78/B78</f>
        <v>0.938271604938272</v>
      </c>
      <c r="E78" s="5" t="n">
        <v>4</v>
      </c>
    </row>
    <row r="79" customFormat="false" ht="15" hidden="false" customHeight="false" outlineLevel="0" collapsed="false">
      <c r="A79" s="4" t="s">
        <v>215</v>
      </c>
      <c r="B79" s="5" t="n">
        <v>41</v>
      </c>
      <c r="C79" s="5" t="n">
        <v>37</v>
      </c>
      <c r="D79" s="6" t="n">
        <f aca="false">C79/B79</f>
        <v>0.902439024390244</v>
      </c>
      <c r="E79" s="5" t="n">
        <v>4.9</v>
      </c>
    </row>
    <row r="80" customFormat="false" ht="15" hidden="false" customHeight="false" outlineLevel="0" collapsed="false">
      <c r="A80" s="4" t="s">
        <v>217</v>
      </c>
      <c r="B80" s="5" t="n">
        <v>93</v>
      </c>
      <c r="C80" s="5" t="n">
        <v>81</v>
      </c>
      <c r="D80" s="6" t="n">
        <f aca="false">C80/B80</f>
        <v>0.870967741935484</v>
      </c>
      <c r="E80" s="5" t="n">
        <v>4.2</v>
      </c>
    </row>
    <row r="81" customFormat="false" ht="15" hidden="false" customHeight="false" outlineLevel="0" collapsed="false">
      <c r="A81" s="4" t="s">
        <v>219</v>
      </c>
      <c r="B81" s="5" t="n">
        <v>104</v>
      </c>
      <c r="C81" s="5" t="n">
        <v>98</v>
      </c>
      <c r="D81" s="6" t="n">
        <f aca="false">C81/B81</f>
        <v>0.942307692307692</v>
      </c>
      <c r="E81" s="5" t="n">
        <v>4.6</v>
      </c>
    </row>
    <row r="82" customFormat="false" ht="15" hidden="false" customHeight="false" outlineLevel="0" collapsed="false">
      <c r="A82" s="4" t="s">
        <v>221</v>
      </c>
      <c r="B82" s="5" t="n">
        <v>26</v>
      </c>
      <c r="C82" s="5" t="n">
        <v>25</v>
      </c>
      <c r="D82" s="6" t="n">
        <f aca="false">C82/B82</f>
        <v>0.961538461538462</v>
      </c>
      <c r="E82" s="5" t="n">
        <v>1.3</v>
      </c>
    </row>
    <row r="83" customFormat="false" ht="15" hidden="false" customHeight="false" outlineLevel="0" collapsed="false">
      <c r="A83" s="4" t="s">
        <v>223</v>
      </c>
      <c r="B83" s="5" t="n">
        <v>76</v>
      </c>
      <c r="C83" s="5" t="n">
        <v>73</v>
      </c>
      <c r="D83" s="6" t="n">
        <f aca="false">C83/B83</f>
        <v>0.960526315789474</v>
      </c>
      <c r="E83" s="5" t="n">
        <v>5.2</v>
      </c>
    </row>
    <row r="84" customFormat="false" ht="15" hidden="false" customHeight="false" outlineLevel="0" collapsed="false">
      <c r="A84" s="4" t="s">
        <v>225</v>
      </c>
      <c r="B84" s="5" t="n">
        <v>93</v>
      </c>
      <c r="C84" s="5" t="n">
        <v>90</v>
      </c>
      <c r="D84" s="6" t="n">
        <f aca="false">C84/B84</f>
        <v>0.967741935483871</v>
      </c>
      <c r="E84" s="5" t="n">
        <v>3.5</v>
      </c>
    </row>
    <row r="85" customFormat="false" ht="15" hidden="false" customHeight="false" outlineLevel="0" collapsed="false">
      <c r="A85" s="4" t="s">
        <v>227</v>
      </c>
      <c r="B85" s="5" t="n">
        <v>103</v>
      </c>
      <c r="C85" s="5" t="n">
        <v>92</v>
      </c>
      <c r="D85" s="6" t="n">
        <f aca="false">C85/B85</f>
        <v>0.893203883495146</v>
      </c>
      <c r="E85" s="5" t="n">
        <v>3.8</v>
      </c>
    </row>
    <row r="86" customFormat="false" ht="15" hidden="false" customHeight="false" outlineLevel="0" collapsed="false">
      <c r="A86" s="4" t="s">
        <v>229</v>
      </c>
      <c r="B86" s="5" t="n">
        <v>112</v>
      </c>
      <c r="C86" s="5" t="n">
        <v>101</v>
      </c>
      <c r="D86" s="6" t="n">
        <f aca="false">C86/B86</f>
        <v>0.901785714285714</v>
      </c>
      <c r="E86" s="5" t="n">
        <v>2.3</v>
      </c>
    </row>
    <row r="87" customFormat="false" ht="15" hidden="false" customHeight="false" outlineLevel="0" collapsed="false">
      <c r="A87" s="4" t="s">
        <v>231</v>
      </c>
      <c r="B87" s="5" t="n">
        <v>58</v>
      </c>
      <c r="C87" s="5" t="n">
        <v>56</v>
      </c>
      <c r="D87" s="6" t="n">
        <f aca="false">C87/B87</f>
        <v>0.96551724137931</v>
      </c>
      <c r="E87" s="5" t="n">
        <v>5.7</v>
      </c>
    </row>
    <row r="88" customFormat="false" ht="15" hidden="false" customHeight="false" outlineLevel="0" collapsed="false">
      <c r="A88" s="4" t="s">
        <v>233</v>
      </c>
      <c r="B88" s="5" t="n">
        <v>110</v>
      </c>
      <c r="C88" s="5" t="n">
        <v>94</v>
      </c>
      <c r="D88" s="6" t="n">
        <f aca="false">C88/B88</f>
        <v>0.854545454545455</v>
      </c>
      <c r="E88" s="5" t="n">
        <v>2.6</v>
      </c>
    </row>
    <row r="89" customFormat="false" ht="15" hidden="false" customHeight="false" outlineLevel="0" collapsed="false">
      <c r="A89" s="4" t="s">
        <v>235</v>
      </c>
      <c r="B89" s="5" t="n">
        <v>46</v>
      </c>
      <c r="C89" s="5" t="n">
        <v>40</v>
      </c>
      <c r="D89" s="6" t="n">
        <f aca="false">C89/B89</f>
        <v>0.869565217391304</v>
      </c>
      <c r="E89" s="5" t="n">
        <v>2</v>
      </c>
    </row>
    <row r="90" customFormat="false" ht="15" hidden="false" customHeight="false" outlineLevel="0" collapsed="false">
      <c r="A90" s="4" t="s">
        <v>237</v>
      </c>
      <c r="B90" s="5" t="n">
        <v>43</v>
      </c>
      <c r="C90" s="5" t="n">
        <v>41</v>
      </c>
      <c r="D90" s="6" t="n">
        <f aca="false">C90/B90</f>
        <v>0.953488372093023</v>
      </c>
      <c r="E90" s="5" t="n">
        <v>5.4</v>
      </c>
    </row>
    <row r="91" customFormat="false" ht="15" hidden="false" customHeight="false" outlineLevel="0" collapsed="false">
      <c r="A91" s="4" t="s">
        <v>239</v>
      </c>
      <c r="B91" s="5" t="n">
        <v>99</v>
      </c>
      <c r="C91" s="5" t="n">
        <v>97</v>
      </c>
      <c r="D91" s="6" t="n">
        <f aca="false">C91/B91</f>
        <v>0.97979797979798</v>
      </c>
      <c r="E91" s="5" t="n">
        <v>2.3</v>
      </c>
    </row>
    <row r="92" customFormat="false" ht="15" hidden="false" customHeight="false" outlineLevel="0" collapsed="false">
      <c r="A92" s="4" t="s">
        <v>241</v>
      </c>
      <c r="B92" s="5" t="n">
        <v>45</v>
      </c>
      <c r="C92" s="5" t="n">
        <v>41</v>
      </c>
      <c r="D92" s="6" t="n">
        <f aca="false">C92/B92</f>
        <v>0.911111111111111</v>
      </c>
      <c r="E92" s="5" t="n">
        <v>2.9</v>
      </c>
    </row>
    <row r="93" customFormat="false" ht="15" hidden="false" customHeight="false" outlineLevel="0" collapsed="false">
      <c r="A93" s="4" t="s">
        <v>243</v>
      </c>
      <c r="B93" s="5" t="n">
        <v>60</v>
      </c>
      <c r="C93" s="5" t="n">
        <v>54</v>
      </c>
      <c r="D93" s="6" t="n">
        <f aca="false">C93/B93</f>
        <v>0.9</v>
      </c>
      <c r="E93" s="5" t="n">
        <v>5.4</v>
      </c>
    </row>
    <row r="94" customFormat="false" ht="15" hidden="false" customHeight="false" outlineLevel="0" collapsed="false">
      <c r="A94" s="4" t="s">
        <v>245</v>
      </c>
      <c r="B94" s="5" t="n">
        <v>76</v>
      </c>
      <c r="C94" s="5" t="n">
        <v>74</v>
      </c>
      <c r="D94" s="6" t="n">
        <f aca="false">C94/B94</f>
        <v>0.973684210526316</v>
      </c>
      <c r="E94" s="5" t="n">
        <v>3.2</v>
      </c>
    </row>
    <row r="95" customFormat="false" ht="15" hidden="false" customHeight="false" outlineLevel="0" collapsed="false">
      <c r="A95" s="4" t="s">
        <v>247</v>
      </c>
      <c r="B95" s="5" t="n">
        <v>64</v>
      </c>
      <c r="C95" s="5" t="n">
        <v>57</v>
      </c>
      <c r="D95" s="6" t="n">
        <f aca="false">C95/B95</f>
        <v>0.890625</v>
      </c>
      <c r="E95" s="5" t="n">
        <v>1.1</v>
      </c>
    </row>
    <row r="96" customFormat="false" ht="15" hidden="false" customHeight="false" outlineLevel="0" collapsed="false">
      <c r="A96" s="4" t="s">
        <v>249</v>
      </c>
      <c r="B96" s="5" t="n">
        <v>24</v>
      </c>
      <c r="C96" s="5" t="n">
        <v>20</v>
      </c>
      <c r="D96" s="6" t="n">
        <f aca="false">C96/B96</f>
        <v>0.833333333333333</v>
      </c>
      <c r="E96" s="5" t="n">
        <v>5.5</v>
      </c>
    </row>
    <row r="97" customFormat="false" ht="15" hidden="false" customHeight="false" outlineLevel="0" collapsed="false">
      <c r="A97" s="4" t="s">
        <v>251</v>
      </c>
      <c r="B97" s="5" t="n">
        <v>115</v>
      </c>
      <c r="C97" s="5" t="n">
        <v>107</v>
      </c>
      <c r="D97" s="6" t="n">
        <f aca="false">C97/B97</f>
        <v>0.930434782608696</v>
      </c>
      <c r="E97" s="5" t="n">
        <v>5</v>
      </c>
    </row>
    <row r="98" customFormat="false" ht="15" hidden="false" customHeight="false" outlineLevel="0" collapsed="false">
      <c r="A98" s="4" t="s">
        <v>253</v>
      </c>
      <c r="B98" s="5" t="n">
        <v>50</v>
      </c>
      <c r="C98" s="5" t="n">
        <v>45</v>
      </c>
      <c r="D98" s="6" t="n">
        <f aca="false">C98/B98</f>
        <v>0.9</v>
      </c>
      <c r="E98" s="5" t="n">
        <v>4.8</v>
      </c>
    </row>
    <row r="99" customFormat="false" ht="15" hidden="false" customHeight="false" outlineLevel="0" collapsed="false">
      <c r="A99" s="4" t="s">
        <v>255</v>
      </c>
      <c r="B99" s="5" t="n">
        <v>29</v>
      </c>
      <c r="C99" s="5" t="n">
        <v>26</v>
      </c>
      <c r="D99" s="6" t="n">
        <f aca="false">C99/B99</f>
        <v>0.896551724137931</v>
      </c>
      <c r="E99" s="5" t="n">
        <v>0.4</v>
      </c>
    </row>
    <row r="100" customFormat="false" ht="15" hidden="false" customHeight="false" outlineLevel="0" collapsed="false">
      <c r="A100" s="4" t="s">
        <v>257</v>
      </c>
      <c r="B100" s="5" t="n">
        <v>53</v>
      </c>
      <c r="C100" s="5" t="n">
        <v>52</v>
      </c>
      <c r="D100" s="6" t="n">
        <f aca="false">C100/B100</f>
        <v>0.981132075471698</v>
      </c>
      <c r="E100" s="5" t="n">
        <v>6</v>
      </c>
    </row>
    <row r="101" customFormat="false" ht="15" hidden="false" customHeight="false" outlineLevel="0" collapsed="false">
      <c r="A101" s="4" t="s">
        <v>259</v>
      </c>
      <c r="B101" s="5" t="n">
        <v>54</v>
      </c>
      <c r="C101" s="5" t="n">
        <v>53</v>
      </c>
      <c r="D101" s="6" t="n">
        <f aca="false">C101/B101</f>
        <v>0.981481481481482</v>
      </c>
      <c r="E101" s="5" t="n">
        <v>1.6</v>
      </c>
    </row>
    <row r="102" customFormat="false" ht="15" hidden="false" customHeight="false" outlineLevel="0" collapsed="false">
      <c r="A102" s="4" t="s">
        <v>261</v>
      </c>
      <c r="B102" s="5" t="n">
        <v>35</v>
      </c>
      <c r="C102" s="5" t="n">
        <v>32</v>
      </c>
      <c r="D102" s="6" t="n">
        <f aca="false">C102/B102</f>
        <v>0.914285714285714</v>
      </c>
      <c r="E102" s="5" t="n">
        <v>3.7</v>
      </c>
    </row>
    <row r="103" customFormat="false" ht="15" hidden="false" customHeight="false" outlineLevel="0" collapsed="false">
      <c r="A103" s="4" t="s">
        <v>263</v>
      </c>
      <c r="B103" s="5" t="n">
        <v>118</v>
      </c>
      <c r="C103" s="5" t="n">
        <v>105</v>
      </c>
      <c r="D103" s="6" t="n">
        <f aca="false">C103/B103</f>
        <v>0.889830508474576</v>
      </c>
      <c r="E103" s="5" t="n">
        <v>2.4</v>
      </c>
    </row>
    <row r="104" customFormat="false" ht="15" hidden="false" customHeight="false" outlineLevel="0" collapsed="false">
      <c r="A104" s="4" t="s">
        <v>265</v>
      </c>
      <c r="B104" s="5" t="n">
        <v>21</v>
      </c>
      <c r="C104" s="5" t="n">
        <v>20</v>
      </c>
      <c r="D104" s="6" t="n">
        <f aca="false">C104/B104</f>
        <v>0.952380952380952</v>
      </c>
      <c r="E104" s="5" t="n">
        <v>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4" min="3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15" hidden="false" customHeight="false" outlineLevel="0" collapsed="false">
      <c r="A4" s="3" t="s">
        <v>2</v>
      </c>
      <c r="B4" s="3" t="s">
        <v>284</v>
      </c>
      <c r="C4" s="3" t="s">
        <v>285</v>
      </c>
      <c r="D4" s="3" t="s">
        <v>286</v>
      </c>
      <c r="E4" s="3" t="s">
        <v>287</v>
      </c>
    </row>
    <row r="5" customFormat="false" ht="15" hidden="false" customHeight="false" outlineLevel="0" collapsed="false">
      <c r="A5" s="4" t="s">
        <v>10</v>
      </c>
      <c r="B5" s="5" t="s">
        <v>288</v>
      </c>
      <c r="C5" s="5" t="s">
        <v>289</v>
      </c>
      <c r="D5" s="5" t="s">
        <v>290</v>
      </c>
      <c r="E5" s="5" t="s">
        <v>16</v>
      </c>
    </row>
    <row r="6" customFormat="false" ht="15" hidden="false" customHeight="false" outlineLevel="0" collapsed="false">
      <c r="A6" s="4" t="s">
        <v>18</v>
      </c>
      <c r="B6" s="5" t="s">
        <v>289</v>
      </c>
      <c r="C6" s="5" t="s">
        <v>291</v>
      </c>
      <c r="D6" s="5" t="s">
        <v>292</v>
      </c>
      <c r="E6" s="5" t="s">
        <v>24</v>
      </c>
    </row>
    <row r="7" customFormat="false" ht="15" hidden="false" customHeight="false" outlineLevel="0" collapsed="false">
      <c r="A7" s="4" t="s">
        <v>25</v>
      </c>
      <c r="B7" s="5" t="s">
        <v>291</v>
      </c>
      <c r="C7" s="5" t="s">
        <v>293</v>
      </c>
      <c r="D7" s="5" t="s">
        <v>294</v>
      </c>
      <c r="E7" s="5" t="s">
        <v>31</v>
      </c>
    </row>
    <row r="8" customFormat="false" ht="15" hidden="false" customHeight="false" outlineLevel="0" collapsed="false">
      <c r="A8" s="4" t="s">
        <v>32</v>
      </c>
      <c r="B8" s="5" t="s">
        <v>293</v>
      </c>
      <c r="C8" s="5" t="s">
        <v>295</v>
      </c>
      <c r="D8" s="5" t="s">
        <v>296</v>
      </c>
      <c r="E8" s="5" t="s">
        <v>38</v>
      </c>
    </row>
    <row r="9" customFormat="false" ht="15" hidden="false" customHeight="false" outlineLevel="0" collapsed="false">
      <c r="A9" s="4" t="s">
        <v>40</v>
      </c>
      <c r="B9" s="5" t="s">
        <v>295</v>
      </c>
      <c r="C9" s="5" t="s">
        <v>297</v>
      </c>
      <c r="D9" s="5" t="s">
        <v>290</v>
      </c>
      <c r="E9" s="5" t="s">
        <v>46</v>
      </c>
    </row>
    <row r="10" customFormat="false" ht="15" hidden="false" customHeight="false" outlineLevel="0" collapsed="false">
      <c r="A10" s="4" t="s">
        <v>48</v>
      </c>
      <c r="B10" s="5" t="s">
        <v>297</v>
      </c>
      <c r="C10" s="5" t="s">
        <v>298</v>
      </c>
      <c r="D10" s="5" t="s">
        <v>292</v>
      </c>
      <c r="E10" s="5" t="s">
        <v>53</v>
      </c>
    </row>
    <row r="11" customFormat="false" ht="15" hidden="false" customHeight="false" outlineLevel="0" collapsed="false">
      <c r="A11" s="4" t="s">
        <v>55</v>
      </c>
      <c r="B11" s="5" t="s">
        <v>298</v>
      </c>
      <c r="C11" s="5" t="s">
        <v>288</v>
      </c>
      <c r="D11" s="5" t="s">
        <v>294</v>
      </c>
      <c r="E11" s="5" t="s">
        <v>60</v>
      </c>
    </row>
    <row r="12" customFormat="false" ht="15" hidden="false" customHeight="false" outlineLevel="0" collapsed="false">
      <c r="A12" s="4" t="s">
        <v>61</v>
      </c>
      <c r="B12" s="5" t="s">
        <v>288</v>
      </c>
      <c r="C12" s="5" t="s">
        <v>289</v>
      </c>
      <c r="D12" s="5" t="s">
        <v>296</v>
      </c>
      <c r="E12" s="5" t="s">
        <v>66</v>
      </c>
    </row>
    <row r="13" customFormat="false" ht="15" hidden="false" customHeight="false" outlineLevel="0" collapsed="false">
      <c r="A13" s="4" t="s">
        <v>67</v>
      </c>
      <c r="B13" s="5" t="s">
        <v>289</v>
      </c>
      <c r="C13" s="5" t="s">
        <v>291</v>
      </c>
      <c r="D13" s="5" t="s">
        <v>290</v>
      </c>
      <c r="E13" s="5" t="s">
        <v>71</v>
      </c>
    </row>
    <row r="14" customFormat="false" ht="15" hidden="false" customHeight="false" outlineLevel="0" collapsed="false">
      <c r="A14" s="4" t="s">
        <v>72</v>
      </c>
      <c r="B14" s="5" t="s">
        <v>291</v>
      </c>
      <c r="C14" s="5" t="s">
        <v>293</v>
      </c>
      <c r="D14" s="5" t="s">
        <v>292</v>
      </c>
      <c r="E14" s="5" t="s">
        <v>76</v>
      </c>
    </row>
    <row r="15" customFormat="false" ht="15" hidden="false" customHeight="false" outlineLevel="0" collapsed="false">
      <c r="A15" s="4" t="s">
        <v>77</v>
      </c>
      <c r="B15" s="5" t="s">
        <v>293</v>
      </c>
      <c r="C15" s="5" t="s">
        <v>295</v>
      </c>
      <c r="D15" s="5" t="s">
        <v>294</v>
      </c>
      <c r="E15" s="5" t="s">
        <v>16</v>
      </c>
    </row>
    <row r="16" customFormat="false" ht="15" hidden="false" customHeight="false" outlineLevel="0" collapsed="false">
      <c r="A16" s="4" t="s">
        <v>80</v>
      </c>
      <c r="B16" s="5" t="s">
        <v>295</v>
      </c>
      <c r="C16" s="5" t="s">
        <v>297</v>
      </c>
      <c r="D16" s="5" t="s">
        <v>296</v>
      </c>
      <c r="E16" s="5" t="s">
        <v>24</v>
      </c>
    </row>
    <row r="17" customFormat="false" ht="15" hidden="false" customHeight="false" outlineLevel="0" collapsed="false">
      <c r="A17" s="4" t="s">
        <v>83</v>
      </c>
      <c r="B17" s="5" t="s">
        <v>297</v>
      </c>
      <c r="C17" s="5" t="s">
        <v>298</v>
      </c>
      <c r="D17" s="5" t="s">
        <v>290</v>
      </c>
      <c r="E17" s="5" t="s">
        <v>31</v>
      </c>
    </row>
    <row r="18" customFormat="false" ht="15" hidden="false" customHeight="false" outlineLevel="0" collapsed="false">
      <c r="A18" s="4" t="s">
        <v>86</v>
      </c>
      <c r="B18" s="5" t="s">
        <v>298</v>
      </c>
      <c r="C18" s="5" t="s">
        <v>288</v>
      </c>
      <c r="D18" s="5" t="s">
        <v>292</v>
      </c>
      <c r="E18" s="5" t="s">
        <v>38</v>
      </c>
    </row>
    <row r="19" customFormat="false" ht="15" hidden="false" customHeight="false" outlineLevel="0" collapsed="false">
      <c r="A19" s="4" t="s">
        <v>89</v>
      </c>
      <c r="B19" s="5" t="s">
        <v>288</v>
      </c>
      <c r="C19" s="5" t="s">
        <v>289</v>
      </c>
      <c r="D19" s="5" t="s">
        <v>294</v>
      </c>
      <c r="E19" s="5" t="s">
        <v>46</v>
      </c>
    </row>
    <row r="20" customFormat="false" ht="15" hidden="false" customHeight="false" outlineLevel="0" collapsed="false">
      <c r="A20" s="4" t="s">
        <v>92</v>
      </c>
      <c r="B20" s="5" t="s">
        <v>289</v>
      </c>
      <c r="C20" s="5" t="s">
        <v>291</v>
      </c>
      <c r="D20" s="5" t="s">
        <v>296</v>
      </c>
      <c r="E20" s="5" t="s">
        <v>53</v>
      </c>
    </row>
    <row r="21" customFormat="false" ht="15" hidden="false" customHeight="false" outlineLevel="0" collapsed="false">
      <c r="A21" s="4" t="s">
        <v>95</v>
      </c>
      <c r="B21" s="5" t="s">
        <v>291</v>
      </c>
      <c r="C21" s="5" t="s">
        <v>293</v>
      </c>
      <c r="D21" s="5" t="s">
        <v>290</v>
      </c>
      <c r="E21" s="5" t="s">
        <v>60</v>
      </c>
    </row>
    <row r="22" customFormat="false" ht="15" hidden="false" customHeight="false" outlineLevel="0" collapsed="false">
      <c r="A22" s="4" t="s">
        <v>98</v>
      </c>
      <c r="B22" s="5" t="s">
        <v>293</v>
      </c>
      <c r="C22" s="5" t="s">
        <v>295</v>
      </c>
      <c r="D22" s="5" t="s">
        <v>292</v>
      </c>
      <c r="E22" s="5" t="s">
        <v>66</v>
      </c>
    </row>
    <row r="23" customFormat="false" ht="15" hidden="false" customHeight="false" outlineLevel="0" collapsed="false">
      <c r="A23" s="4" t="s">
        <v>101</v>
      </c>
      <c r="B23" s="5" t="s">
        <v>295</v>
      </c>
      <c r="C23" s="5" t="s">
        <v>297</v>
      </c>
      <c r="D23" s="5" t="s">
        <v>294</v>
      </c>
      <c r="E23" s="5" t="s">
        <v>71</v>
      </c>
    </row>
    <row r="24" customFormat="false" ht="15" hidden="false" customHeight="false" outlineLevel="0" collapsed="false">
      <c r="A24" s="4" t="s">
        <v>104</v>
      </c>
      <c r="B24" s="5" t="s">
        <v>297</v>
      </c>
      <c r="C24" s="5" t="s">
        <v>298</v>
      </c>
      <c r="D24" s="5" t="s">
        <v>296</v>
      </c>
      <c r="E24" s="5" t="s">
        <v>76</v>
      </c>
    </row>
    <row r="25" customFormat="false" ht="15" hidden="false" customHeight="false" outlineLevel="0" collapsed="false">
      <c r="A25" s="4" t="s">
        <v>107</v>
      </c>
      <c r="B25" s="5" t="s">
        <v>298</v>
      </c>
      <c r="C25" s="5" t="s">
        <v>288</v>
      </c>
      <c r="D25" s="5" t="s">
        <v>290</v>
      </c>
      <c r="E25" s="5" t="s">
        <v>16</v>
      </c>
    </row>
    <row r="26" customFormat="false" ht="15" hidden="false" customHeight="false" outlineLevel="0" collapsed="false">
      <c r="A26" s="4" t="s">
        <v>109</v>
      </c>
      <c r="B26" s="5" t="s">
        <v>288</v>
      </c>
      <c r="C26" s="5" t="s">
        <v>289</v>
      </c>
      <c r="D26" s="5" t="s">
        <v>292</v>
      </c>
      <c r="E26" s="5" t="s">
        <v>24</v>
      </c>
    </row>
    <row r="27" customFormat="false" ht="15" hidden="false" customHeight="false" outlineLevel="0" collapsed="false">
      <c r="A27" s="4" t="s">
        <v>111</v>
      </c>
      <c r="B27" s="5" t="s">
        <v>289</v>
      </c>
      <c r="C27" s="5" t="s">
        <v>291</v>
      </c>
      <c r="D27" s="5" t="s">
        <v>294</v>
      </c>
      <c r="E27" s="5" t="s">
        <v>31</v>
      </c>
    </row>
    <row r="28" customFormat="false" ht="15" hidden="false" customHeight="false" outlineLevel="0" collapsed="false">
      <c r="A28" s="4" t="s">
        <v>113</v>
      </c>
      <c r="B28" s="5" t="s">
        <v>291</v>
      </c>
      <c r="C28" s="5" t="s">
        <v>293</v>
      </c>
      <c r="D28" s="5" t="s">
        <v>296</v>
      </c>
      <c r="E28" s="5" t="s">
        <v>38</v>
      </c>
    </row>
    <row r="29" customFormat="false" ht="15" hidden="false" customHeight="false" outlineLevel="0" collapsed="false">
      <c r="A29" s="4" t="s">
        <v>115</v>
      </c>
      <c r="B29" s="5" t="s">
        <v>293</v>
      </c>
      <c r="C29" s="5" t="s">
        <v>295</v>
      </c>
      <c r="D29" s="5" t="s">
        <v>290</v>
      </c>
      <c r="E29" s="5" t="s">
        <v>46</v>
      </c>
    </row>
    <row r="30" customFormat="false" ht="15" hidden="false" customHeight="false" outlineLevel="0" collapsed="false">
      <c r="A30" s="4" t="s">
        <v>117</v>
      </c>
      <c r="B30" s="5" t="s">
        <v>295</v>
      </c>
      <c r="C30" s="5" t="s">
        <v>297</v>
      </c>
      <c r="D30" s="5" t="s">
        <v>292</v>
      </c>
      <c r="E30" s="5" t="s">
        <v>53</v>
      </c>
    </row>
    <row r="31" customFormat="false" ht="15" hidden="false" customHeight="false" outlineLevel="0" collapsed="false">
      <c r="A31" s="4" t="s">
        <v>119</v>
      </c>
      <c r="B31" s="5" t="s">
        <v>297</v>
      </c>
      <c r="C31" s="5" t="s">
        <v>298</v>
      </c>
      <c r="D31" s="5" t="s">
        <v>294</v>
      </c>
      <c r="E31" s="5" t="s">
        <v>60</v>
      </c>
    </row>
    <row r="32" customFormat="false" ht="15" hidden="false" customHeight="false" outlineLevel="0" collapsed="false">
      <c r="A32" s="4" t="s">
        <v>121</v>
      </c>
      <c r="B32" s="5" t="s">
        <v>298</v>
      </c>
      <c r="C32" s="5" t="s">
        <v>288</v>
      </c>
      <c r="D32" s="5" t="s">
        <v>296</v>
      </c>
      <c r="E32" s="5" t="s">
        <v>66</v>
      </c>
    </row>
    <row r="33" customFormat="false" ht="15" hidden="false" customHeight="false" outlineLevel="0" collapsed="false">
      <c r="A33" s="4" t="s">
        <v>123</v>
      </c>
      <c r="B33" s="5" t="s">
        <v>288</v>
      </c>
      <c r="C33" s="5" t="s">
        <v>289</v>
      </c>
      <c r="D33" s="5" t="s">
        <v>290</v>
      </c>
      <c r="E33" s="5" t="s">
        <v>71</v>
      </c>
    </row>
    <row r="34" customFormat="false" ht="15" hidden="false" customHeight="false" outlineLevel="0" collapsed="false">
      <c r="A34" s="4" t="s">
        <v>125</v>
      </c>
      <c r="B34" s="5" t="s">
        <v>289</v>
      </c>
      <c r="C34" s="5" t="s">
        <v>291</v>
      </c>
      <c r="D34" s="5" t="s">
        <v>292</v>
      </c>
      <c r="E34" s="5" t="s">
        <v>76</v>
      </c>
    </row>
    <row r="35" customFormat="false" ht="15" hidden="false" customHeight="false" outlineLevel="0" collapsed="false">
      <c r="A35" s="4" t="s">
        <v>127</v>
      </c>
      <c r="B35" s="5" t="s">
        <v>291</v>
      </c>
      <c r="C35" s="5" t="s">
        <v>293</v>
      </c>
      <c r="D35" s="5" t="s">
        <v>294</v>
      </c>
      <c r="E35" s="5" t="s">
        <v>16</v>
      </c>
    </row>
    <row r="36" customFormat="false" ht="15" hidden="false" customHeight="false" outlineLevel="0" collapsed="false">
      <c r="A36" s="4" t="s">
        <v>129</v>
      </c>
      <c r="B36" s="5" t="s">
        <v>293</v>
      </c>
      <c r="C36" s="5" t="s">
        <v>295</v>
      </c>
      <c r="D36" s="5" t="s">
        <v>296</v>
      </c>
      <c r="E36" s="5" t="s">
        <v>24</v>
      </c>
    </row>
    <row r="37" customFormat="false" ht="15" hidden="false" customHeight="false" outlineLevel="0" collapsed="false">
      <c r="A37" s="4" t="s">
        <v>131</v>
      </c>
      <c r="B37" s="5" t="s">
        <v>295</v>
      </c>
      <c r="C37" s="5" t="s">
        <v>297</v>
      </c>
      <c r="D37" s="5" t="s">
        <v>290</v>
      </c>
      <c r="E37" s="5" t="s">
        <v>31</v>
      </c>
    </row>
    <row r="38" customFormat="false" ht="15" hidden="false" customHeight="false" outlineLevel="0" collapsed="false">
      <c r="A38" s="4" t="s">
        <v>133</v>
      </c>
      <c r="B38" s="5" t="s">
        <v>297</v>
      </c>
      <c r="C38" s="5" t="s">
        <v>298</v>
      </c>
      <c r="D38" s="5" t="s">
        <v>292</v>
      </c>
      <c r="E38" s="5" t="s">
        <v>38</v>
      </c>
    </row>
    <row r="39" customFormat="false" ht="15" hidden="false" customHeight="false" outlineLevel="0" collapsed="false">
      <c r="A39" s="4" t="s">
        <v>135</v>
      </c>
      <c r="B39" s="5" t="s">
        <v>298</v>
      </c>
      <c r="C39" s="5" t="s">
        <v>288</v>
      </c>
      <c r="D39" s="5" t="s">
        <v>294</v>
      </c>
      <c r="E39" s="5" t="s">
        <v>46</v>
      </c>
    </row>
    <row r="40" customFormat="false" ht="15" hidden="false" customHeight="false" outlineLevel="0" collapsed="false">
      <c r="A40" s="4" t="s">
        <v>137</v>
      </c>
      <c r="B40" s="5" t="s">
        <v>288</v>
      </c>
      <c r="C40" s="5" t="s">
        <v>289</v>
      </c>
      <c r="D40" s="5" t="s">
        <v>296</v>
      </c>
      <c r="E40" s="5" t="s">
        <v>53</v>
      </c>
    </row>
    <row r="41" customFormat="false" ht="15" hidden="false" customHeight="false" outlineLevel="0" collapsed="false">
      <c r="A41" s="4" t="s">
        <v>139</v>
      </c>
      <c r="B41" s="5" t="s">
        <v>289</v>
      </c>
      <c r="C41" s="5" t="s">
        <v>291</v>
      </c>
      <c r="D41" s="5" t="s">
        <v>290</v>
      </c>
      <c r="E41" s="5" t="s">
        <v>60</v>
      </c>
    </row>
    <row r="42" customFormat="false" ht="15" hidden="false" customHeight="false" outlineLevel="0" collapsed="false">
      <c r="A42" s="4" t="s">
        <v>141</v>
      </c>
      <c r="B42" s="5" t="s">
        <v>291</v>
      </c>
      <c r="C42" s="5" t="s">
        <v>293</v>
      </c>
      <c r="D42" s="5" t="s">
        <v>292</v>
      </c>
      <c r="E42" s="5" t="s">
        <v>66</v>
      </c>
    </row>
    <row r="43" customFormat="false" ht="15" hidden="false" customHeight="false" outlineLevel="0" collapsed="false">
      <c r="A43" s="4" t="s">
        <v>143</v>
      </c>
      <c r="B43" s="5" t="s">
        <v>293</v>
      </c>
      <c r="C43" s="5" t="s">
        <v>295</v>
      </c>
      <c r="D43" s="5" t="s">
        <v>294</v>
      </c>
      <c r="E43" s="5" t="s">
        <v>71</v>
      </c>
    </row>
    <row r="44" customFormat="false" ht="15" hidden="false" customHeight="false" outlineLevel="0" collapsed="false">
      <c r="A44" s="4" t="s">
        <v>145</v>
      </c>
      <c r="B44" s="5" t="s">
        <v>295</v>
      </c>
      <c r="C44" s="5" t="s">
        <v>297</v>
      </c>
      <c r="D44" s="5" t="s">
        <v>296</v>
      </c>
      <c r="E44" s="5" t="s">
        <v>76</v>
      </c>
    </row>
    <row r="45" customFormat="false" ht="15" hidden="false" customHeight="false" outlineLevel="0" collapsed="false">
      <c r="A45" s="4" t="s">
        <v>147</v>
      </c>
      <c r="B45" s="5" t="s">
        <v>297</v>
      </c>
      <c r="C45" s="5" t="s">
        <v>298</v>
      </c>
      <c r="D45" s="5" t="s">
        <v>290</v>
      </c>
      <c r="E45" s="5" t="s">
        <v>16</v>
      </c>
    </row>
    <row r="46" customFormat="false" ht="15" hidden="false" customHeight="false" outlineLevel="0" collapsed="false">
      <c r="A46" s="4" t="s">
        <v>149</v>
      </c>
      <c r="B46" s="5" t="s">
        <v>298</v>
      </c>
      <c r="C46" s="5" t="s">
        <v>288</v>
      </c>
      <c r="D46" s="5" t="s">
        <v>292</v>
      </c>
      <c r="E46" s="5" t="s">
        <v>24</v>
      </c>
    </row>
    <row r="47" customFormat="false" ht="15" hidden="false" customHeight="false" outlineLevel="0" collapsed="false">
      <c r="A47" s="4" t="s">
        <v>151</v>
      </c>
      <c r="B47" s="5" t="s">
        <v>288</v>
      </c>
      <c r="C47" s="5" t="s">
        <v>289</v>
      </c>
      <c r="D47" s="5" t="s">
        <v>294</v>
      </c>
      <c r="E47" s="5" t="s">
        <v>31</v>
      </c>
    </row>
    <row r="48" customFormat="false" ht="15" hidden="false" customHeight="false" outlineLevel="0" collapsed="false">
      <c r="A48" s="4" t="s">
        <v>153</v>
      </c>
      <c r="B48" s="5" t="s">
        <v>289</v>
      </c>
      <c r="C48" s="5" t="s">
        <v>291</v>
      </c>
      <c r="D48" s="5" t="s">
        <v>296</v>
      </c>
      <c r="E48" s="5" t="s">
        <v>38</v>
      </c>
    </row>
    <row r="49" customFormat="false" ht="15" hidden="false" customHeight="false" outlineLevel="0" collapsed="false">
      <c r="A49" s="4" t="s">
        <v>155</v>
      </c>
      <c r="B49" s="5" t="s">
        <v>291</v>
      </c>
      <c r="C49" s="5" t="s">
        <v>293</v>
      </c>
      <c r="D49" s="5" t="s">
        <v>290</v>
      </c>
      <c r="E49" s="5" t="s">
        <v>46</v>
      </c>
    </row>
    <row r="50" customFormat="false" ht="15" hidden="false" customHeight="false" outlineLevel="0" collapsed="false">
      <c r="A50" s="4" t="s">
        <v>157</v>
      </c>
      <c r="B50" s="5" t="s">
        <v>293</v>
      </c>
      <c r="C50" s="5" t="s">
        <v>295</v>
      </c>
      <c r="D50" s="5" t="s">
        <v>292</v>
      </c>
      <c r="E50" s="5" t="s">
        <v>53</v>
      </c>
    </row>
    <row r="51" customFormat="false" ht="15" hidden="false" customHeight="false" outlineLevel="0" collapsed="false">
      <c r="A51" s="4" t="s">
        <v>159</v>
      </c>
      <c r="B51" s="5" t="s">
        <v>295</v>
      </c>
      <c r="C51" s="5" t="s">
        <v>297</v>
      </c>
      <c r="D51" s="5" t="s">
        <v>294</v>
      </c>
      <c r="E51" s="5" t="s">
        <v>60</v>
      </c>
    </row>
    <row r="52" customFormat="false" ht="15" hidden="false" customHeight="false" outlineLevel="0" collapsed="false">
      <c r="A52" s="4" t="s">
        <v>161</v>
      </c>
      <c r="B52" s="5" t="s">
        <v>297</v>
      </c>
      <c r="C52" s="5" t="s">
        <v>298</v>
      </c>
      <c r="D52" s="5" t="s">
        <v>296</v>
      </c>
      <c r="E52" s="5" t="s">
        <v>66</v>
      </c>
    </row>
    <row r="53" customFormat="false" ht="15" hidden="false" customHeight="false" outlineLevel="0" collapsed="false">
      <c r="A53" s="4" t="s">
        <v>163</v>
      </c>
      <c r="B53" s="5" t="s">
        <v>298</v>
      </c>
      <c r="C53" s="5" t="s">
        <v>288</v>
      </c>
      <c r="D53" s="5" t="s">
        <v>290</v>
      </c>
      <c r="E53" s="5" t="s">
        <v>71</v>
      </c>
    </row>
    <row r="54" customFormat="false" ht="15" hidden="false" customHeight="false" outlineLevel="0" collapsed="false">
      <c r="A54" s="4" t="s">
        <v>165</v>
      </c>
      <c r="B54" s="5" t="s">
        <v>288</v>
      </c>
      <c r="C54" s="5" t="s">
        <v>289</v>
      </c>
      <c r="D54" s="5" t="s">
        <v>292</v>
      </c>
      <c r="E54" s="5" t="s">
        <v>76</v>
      </c>
    </row>
    <row r="55" customFormat="false" ht="15" hidden="false" customHeight="false" outlineLevel="0" collapsed="false">
      <c r="A55" s="4" t="s">
        <v>167</v>
      </c>
      <c r="B55" s="5" t="s">
        <v>289</v>
      </c>
      <c r="C55" s="5" t="s">
        <v>291</v>
      </c>
      <c r="D55" s="5" t="s">
        <v>294</v>
      </c>
      <c r="E55" s="5" t="s">
        <v>16</v>
      </c>
    </row>
    <row r="56" customFormat="false" ht="15" hidden="false" customHeight="false" outlineLevel="0" collapsed="false">
      <c r="A56" s="4" t="s">
        <v>169</v>
      </c>
      <c r="B56" s="5" t="s">
        <v>291</v>
      </c>
      <c r="C56" s="5" t="s">
        <v>293</v>
      </c>
      <c r="D56" s="5" t="s">
        <v>296</v>
      </c>
      <c r="E56" s="5" t="s">
        <v>24</v>
      </c>
    </row>
    <row r="57" customFormat="false" ht="15" hidden="false" customHeight="false" outlineLevel="0" collapsed="false">
      <c r="A57" s="4" t="s">
        <v>171</v>
      </c>
      <c r="B57" s="5" t="s">
        <v>293</v>
      </c>
      <c r="C57" s="5" t="s">
        <v>295</v>
      </c>
      <c r="D57" s="5" t="s">
        <v>290</v>
      </c>
      <c r="E57" s="5" t="s">
        <v>31</v>
      </c>
    </row>
    <row r="58" customFormat="false" ht="15" hidden="false" customHeight="false" outlineLevel="0" collapsed="false">
      <c r="A58" s="4" t="s">
        <v>173</v>
      </c>
      <c r="B58" s="5" t="s">
        <v>295</v>
      </c>
      <c r="C58" s="5" t="s">
        <v>297</v>
      </c>
      <c r="D58" s="5" t="s">
        <v>292</v>
      </c>
      <c r="E58" s="5" t="s">
        <v>38</v>
      </c>
    </row>
    <row r="59" customFormat="false" ht="15" hidden="false" customHeight="false" outlineLevel="0" collapsed="false">
      <c r="A59" s="4" t="s">
        <v>175</v>
      </c>
      <c r="B59" s="5" t="s">
        <v>297</v>
      </c>
      <c r="C59" s="5" t="s">
        <v>298</v>
      </c>
      <c r="D59" s="5" t="s">
        <v>294</v>
      </c>
      <c r="E59" s="5" t="s">
        <v>46</v>
      </c>
    </row>
    <row r="60" customFormat="false" ht="15" hidden="false" customHeight="false" outlineLevel="0" collapsed="false">
      <c r="A60" s="4" t="s">
        <v>177</v>
      </c>
      <c r="B60" s="5" t="s">
        <v>298</v>
      </c>
      <c r="C60" s="5" t="s">
        <v>288</v>
      </c>
      <c r="D60" s="5" t="s">
        <v>296</v>
      </c>
      <c r="E60" s="5" t="s">
        <v>53</v>
      </c>
    </row>
    <row r="61" customFormat="false" ht="15" hidden="false" customHeight="false" outlineLevel="0" collapsed="false">
      <c r="A61" s="4" t="s">
        <v>179</v>
      </c>
      <c r="B61" s="5" t="s">
        <v>288</v>
      </c>
      <c r="C61" s="5" t="s">
        <v>289</v>
      </c>
      <c r="D61" s="5" t="s">
        <v>290</v>
      </c>
      <c r="E61" s="5" t="s">
        <v>60</v>
      </c>
    </row>
    <row r="62" customFormat="false" ht="15" hidden="false" customHeight="false" outlineLevel="0" collapsed="false">
      <c r="A62" s="4" t="s">
        <v>181</v>
      </c>
      <c r="B62" s="5" t="s">
        <v>289</v>
      </c>
      <c r="C62" s="5" t="s">
        <v>291</v>
      </c>
      <c r="D62" s="5" t="s">
        <v>292</v>
      </c>
      <c r="E62" s="5" t="s">
        <v>66</v>
      </c>
    </row>
    <row r="63" customFormat="false" ht="15" hidden="false" customHeight="false" outlineLevel="0" collapsed="false">
      <c r="A63" s="4" t="s">
        <v>183</v>
      </c>
      <c r="B63" s="5" t="s">
        <v>291</v>
      </c>
      <c r="C63" s="5" t="s">
        <v>293</v>
      </c>
      <c r="D63" s="5" t="s">
        <v>294</v>
      </c>
      <c r="E63" s="5" t="s">
        <v>71</v>
      </c>
    </row>
    <row r="64" customFormat="false" ht="15" hidden="false" customHeight="false" outlineLevel="0" collapsed="false">
      <c r="A64" s="4" t="s">
        <v>185</v>
      </c>
      <c r="B64" s="5" t="s">
        <v>293</v>
      </c>
      <c r="C64" s="5" t="s">
        <v>295</v>
      </c>
      <c r="D64" s="5" t="s">
        <v>296</v>
      </c>
      <c r="E64" s="5" t="s">
        <v>76</v>
      </c>
    </row>
    <row r="65" customFormat="false" ht="15" hidden="false" customHeight="false" outlineLevel="0" collapsed="false">
      <c r="A65" s="4" t="s">
        <v>187</v>
      </c>
      <c r="B65" s="5" t="s">
        <v>295</v>
      </c>
      <c r="C65" s="5" t="s">
        <v>297</v>
      </c>
      <c r="D65" s="5" t="s">
        <v>290</v>
      </c>
      <c r="E65" s="5" t="s">
        <v>16</v>
      </c>
    </row>
    <row r="66" customFormat="false" ht="15" hidden="false" customHeight="false" outlineLevel="0" collapsed="false">
      <c r="A66" s="4" t="s">
        <v>189</v>
      </c>
      <c r="B66" s="5" t="s">
        <v>297</v>
      </c>
      <c r="C66" s="5" t="s">
        <v>298</v>
      </c>
      <c r="D66" s="5" t="s">
        <v>292</v>
      </c>
      <c r="E66" s="5" t="s">
        <v>24</v>
      </c>
    </row>
    <row r="67" customFormat="false" ht="15" hidden="false" customHeight="false" outlineLevel="0" collapsed="false">
      <c r="A67" s="4" t="s">
        <v>191</v>
      </c>
      <c r="B67" s="5" t="s">
        <v>298</v>
      </c>
      <c r="C67" s="5" t="s">
        <v>288</v>
      </c>
      <c r="D67" s="5" t="s">
        <v>294</v>
      </c>
      <c r="E67" s="5" t="s">
        <v>31</v>
      </c>
    </row>
    <row r="68" customFormat="false" ht="15" hidden="false" customHeight="false" outlineLevel="0" collapsed="false">
      <c r="A68" s="4" t="s">
        <v>193</v>
      </c>
      <c r="B68" s="5" t="s">
        <v>288</v>
      </c>
      <c r="C68" s="5" t="s">
        <v>289</v>
      </c>
      <c r="D68" s="5" t="s">
        <v>296</v>
      </c>
      <c r="E68" s="5" t="s">
        <v>38</v>
      </c>
    </row>
    <row r="69" customFormat="false" ht="15" hidden="false" customHeight="false" outlineLevel="0" collapsed="false">
      <c r="A69" s="4" t="s">
        <v>195</v>
      </c>
      <c r="B69" s="5" t="s">
        <v>289</v>
      </c>
      <c r="C69" s="5" t="s">
        <v>291</v>
      </c>
      <c r="D69" s="5" t="s">
        <v>290</v>
      </c>
      <c r="E69" s="5" t="s">
        <v>46</v>
      </c>
    </row>
    <row r="70" customFormat="false" ht="15" hidden="false" customHeight="false" outlineLevel="0" collapsed="false">
      <c r="A70" s="4" t="s">
        <v>197</v>
      </c>
      <c r="B70" s="5" t="s">
        <v>291</v>
      </c>
      <c r="C70" s="5" t="s">
        <v>293</v>
      </c>
      <c r="D70" s="5" t="s">
        <v>292</v>
      </c>
      <c r="E70" s="5" t="s">
        <v>53</v>
      </c>
    </row>
    <row r="71" customFormat="false" ht="15" hidden="false" customHeight="false" outlineLevel="0" collapsed="false">
      <c r="A71" s="4" t="s">
        <v>199</v>
      </c>
      <c r="B71" s="5" t="s">
        <v>293</v>
      </c>
      <c r="C71" s="5" t="s">
        <v>295</v>
      </c>
      <c r="D71" s="5" t="s">
        <v>294</v>
      </c>
      <c r="E71" s="5" t="s">
        <v>60</v>
      </c>
    </row>
    <row r="72" customFormat="false" ht="15" hidden="false" customHeight="false" outlineLevel="0" collapsed="false">
      <c r="A72" s="4" t="s">
        <v>201</v>
      </c>
      <c r="B72" s="5" t="s">
        <v>295</v>
      </c>
      <c r="C72" s="5" t="s">
        <v>297</v>
      </c>
      <c r="D72" s="5" t="s">
        <v>296</v>
      </c>
      <c r="E72" s="5" t="s">
        <v>66</v>
      </c>
    </row>
    <row r="73" customFormat="false" ht="15" hidden="false" customHeight="false" outlineLevel="0" collapsed="false">
      <c r="A73" s="4" t="s">
        <v>203</v>
      </c>
      <c r="B73" s="5" t="s">
        <v>297</v>
      </c>
      <c r="C73" s="5" t="s">
        <v>298</v>
      </c>
      <c r="D73" s="5" t="s">
        <v>290</v>
      </c>
      <c r="E73" s="5" t="s">
        <v>71</v>
      </c>
    </row>
    <row r="74" customFormat="false" ht="15" hidden="false" customHeight="false" outlineLevel="0" collapsed="false">
      <c r="A74" s="4" t="s">
        <v>205</v>
      </c>
      <c r="B74" s="5" t="s">
        <v>298</v>
      </c>
      <c r="C74" s="5" t="s">
        <v>288</v>
      </c>
      <c r="D74" s="5" t="s">
        <v>292</v>
      </c>
      <c r="E74" s="5" t="s">
        <v>76</v>
      </c>
    </row>
    <row r="75" customFormat="false" ht="15" hidden="false" customHeight="false" outlineLevel="0" collapsed="false">
      <c r="A75" s="4" t="s">
        <v>207</v>
      </c>
      <c r="B75" s="5" t="s">
        <v>288</v>
      </c>
      <c r="C75" s="5" t="s">
        <v>289</v>
      </c>
      <c r="D75" s="5" t="s">
        <v>294</v>
      </c>
      <c r="E75" s="5" t="s">
        <v>16</v>
      </c>
    </row>
    <row r="76" customFormat="false" ht="15" hidden="false" customHeight="false" outlineLevel="0" collapsed="false">
      <c r="A76" s="4" t="s">
        <v>209</v>
      </c>
      <c r="B76" s="5" t="s">
        <v>289</v>
      </c>
      <c r="C76" s="5" t="s">
        <v>291</v>
      </c>
      <c r="D76" s="5" t="s">
        <v>296</v>
      </c>
      <c r="E76" s="5" t="s">
        <v>24</v>
      </c>
    </row>
    <row r="77" customFormat="false" ht="15" hidden="false" customHeight="false" outlineLevel="0" collapsed="false">
      <c r="A77" s="4" t="s">
        <v>211</v>
      </c>
      <c r="B77" s="5" t="s">
        <v>291</v>
      </c>
      <c r="C77" s="5" t="s">
        <v>293</v>
      </c>
      <c r="D77" s="5" t="s">
        <v>290</v>
      </c>
      <c r="E77" s="5" t="s">
        <v>31</v>
      </c>
    </row>
    <row r="78" customFormat="false" ht="15" hidden="false" customHeight="false" outlineLevel="0" collapsed="false">
      <c r="A78" s="4" t="s">
        <v>213</v>
      </c>
      <c r="B78" s="5" t="s">
        <v>293</v>
      </c>
      <c r="C78" s="5" t="s">
        <v>295</v>
      </c>
      <c r="D78" s="5" t="s">
        <v>292</v>
      </c>
      <c r="E78" s="5" t="s">
        <v>38</v>
      </c>
    </row>
    <row r="79" customFormat="false" ht="15" hidden="false" customHeight="false" outlineLevel="0" collapsed="false">
      <c r="A79" s="4" t="s">
        <v>215</v>
      </c>
      <c r="B79" s="5" t="s">
        <v>295</v>
      </c>
      <c r="C79" s="5" t="s">
        <v>297</v>
      </c>
      <c r="D79" s="5" t="s">
        <v>294</v>
      </c>
      <c r="E79" s="5" t="s">
        <v>46</v>
      </c>
    </row>
    <row r="80" customFormat="false" ht="15" hidden="false" customHeight="false" outlineLevel="0" collapsed="false">
      <c r="A80" s="4" t="s">
        <v>217</v>
      </c>
      <c r="B80" s="5" t="s">
        <v>297</v>
      </c>
      <c r="C80" s="5" t="s">
        <v>298</v>
      </c>
      <c r="D80" s="5" t="s">
        <v>296</v>
      </c>
      <c r="E80" s="5" t="s">
        <v>53</v>
      </c>
    </row>
    <row r="81" customFormat="false" ht="15" hidden="false" customHeight="false" outlineLevel="0" collapsed="false">
      <c r="A81" s="4" t="s">
        <v>219</v>
      </c>
      <c r="B81" s="5" t="s">
        <v>298</v>
      </c>
      <c r="C81" s="5" t="s">
        <v>288</v>
      </c>
      <c r="D81" s="5" t="s">
        <v>290</v>
      </c>
      <c r="E81" s="5" t="s">
        <v>60</v>
      </c>
    </row>
    <row r="82" customFormat="false" ht="15" hidden="false" customHeight="false" outlineLevel="0" collapsed="false">
      <c r="A82" s="4" t="s">
        <v>221</v>
      </c>
      <c r="B82" s="5" t="s">
        <v>288</v>
      </c>
      <c r="C82" s="5" t="s">
        <v>289</v>
      </c>
      <c r="D82" s="5" t="s">
        <v>292</v>
      </c>
      <c r="E82" s="5" t="s">
        <v>66</v>
      </c>
    </row>
    <row r="83" customFormat="false" ht="15" hidden="false" customHeight="false" outlineLevel="0" collapsed="false">
      <c r="A83" s="4" t="s">
        <v>223</v>
      </c>
      <c r="B83" s="5" t="s">
        <v>289</v>
      </c>
      <c r="C83" s="5" t="s">
        <v>291</v>
      </c>
      <c r="D83" s="5" t="s">
        <v>294</v>
      </c>
      <c r="E83" s="5" t="s">
        <v>71</v>
      </c>
    </row>
    <row r="84" customFormat="false" ht="15" hidden="false" customHeight="false" outlineLevel="0" collapsed="false">
      <c r="A84" s="4" t="s">
        <v>225</v>
      </c>
      <c r="B84" s="5" t="s">
        <v>291</v>
      </c>
      <c r="C84" s="5" t="s">
        <v>293</v>
      </c>
      <c r="D84" s="5" t="s">
        <v>296</v>
      </c>
      <c r="E84" s="5" t="s">
        <v>76</v>
      </c>
    </row>
    <row r="85" customFormat="false" ht="15" hidden="false" customHeight="false" outlineLevel="0" collapsed="false">
      <c r="A85" s="4" t="s">
        <v>227</v>
      </c>
      <c r="B85" s="5" t="s">
        <v>293</v>
      </c>
      <c r="C85" s="5" t="s">
        <v>295</v>
      </c>
      <c r="D85" s="5" t="s">
        <v>290</v>
      </c>
      <c r="E85" s="5" t="s">
        <v>16</v>
      </c>
    </row>
    <row r="86" customFormat="false" ht="15" hidden="false" customHeight="false" outlineLevel="0" collapsed="false">
      <c r="A86" s="4" t="s">
        <v>229</v>
      </c>
      <c r="B86" s="5" t="s">
        <v>295</v>
      </c>
      <c r="C86" s="5" t="s">
        <v>297</v>
      </c>
      <c r="D86" s="5" t="s">
        <v>292</v>
      </c>
      <c r="E86" s="5" t="s">
        <v>24</v>
      </c>
    </row>
    <row r="87" customFormat="false" ht="15" hidden="false" customHeight="false" outlineLevel="0" collapsed="false">
      <c r="A87" s="4" t="s">
        <v>231</v>
      </c>
      <c r="B87" s="5" t="s">
        <v>297</v>
      </c>
      <c r="C87" s="5" t="s">
        <v>298</v>
      </c>
      <c r="D87" s="5" t="s">
        <v>294</v>
      </c>
      <c r="E87" s="5" t="s">
        <v>31</v>
      </c>
    </row>
    <row r="88" customFormat="false" ht="15" hidden="false" customHeight="false" outlineLevel="0" collapsed="false">
      <c r="A88" s="4" t="s">
        <v>233</v>
      </c>
      <c r="B88" s="5" t="s">
        <v>298</v>
      </c>
      <c r="C88" s="5" t="s">
        <v>288</v>
      </c>
      <c r="D88" s="5" t="s">
        <v>296</v>
      </c>
      <c r="E88" s="5" t="s">
        <v>38</v>
      </c>
    </row>
    <row r="89" customFormat="false" ht="15" hidden="false" customHeight="false" outlineLevel="0" collapsed="false">
      <c r="A89" s="4" t="s">
        <v>235</v>
      </c>
      <c r="B89" s="5" t="s">
        <v>288</v>
      </c>
      <c r="C89" s="5" t="s">
        <v>289</v>
      </c>
      <c r="D89" s="5" t="s">
        <v>290</v>
      </c>
      <c r="E89" s="5" t="s">
        <v>46</v>
      </c>
    </row>
    <row r="90" customFormat="false" ht="15" hidden="false" customHeight="false" outlineLevel="0" collapsed="false">
      <c r="A90" s="4" t="s">
        <v>237</v>
      </c>
      <c r="B90" s="5" t="s">
        <v>289</v>
      </c>
      <c r="C90" s="5" t="s">
        <v>291</v>
      </c>
      <c r="D90" s="5" t="s">
        <v>292</v>
      </c>
      <c r="E90" s="5" t="s">
        <v>53</v>
      </c>
    </row>
    <row r="91" customFormat="false" ht="15" hidden="false" customHeight="false" outlineLevel="0" collapsed="false">
      <c r="A91" s="4" t="s">
        <v>239</v>
      </c>
      <c r="B91" s="5" t="s">
        <v>291</v>
      </c>
      <c r="C91" s="5" t="s">
        <v>293</v>
      </c>
      <c r="D91" s="5" t="s">
        <v>294</v>
      </c>
      <c r="E91" s="5" t="s">
        <v>60</v>
      </c>
    </row>
    <row r="92" customFormat="false" ht="15" hidden="false" customHeight="false" outlineLevel="0" collapsed="false">
      <c r="A92" s="4" t="s">
        <v>241</v>
      </c>
      <c r="B92" s="5" t="s">
        <v>293</v>
      </c>
      <c r="C92" s="5" t="s">
        <v>295</v>
      </c>
      <c r="D92" s="5" t="s">
        <v>296</v>
      </c>
      <c r="E92" s="5" t="s">
        <v>66</v>
      </c>
    </row>
    <row r="93" customFormat="false" ht="15" hidden="false" customHeight="false" outlineLevel="0" collapsed="false">
      <c r="A93" s="4" t="s">
        <v>243</v>
      </c>
      <c r="B93" s="5" t="s">
        <v>295</v>
      </c>
      <c r="C93" s="5" t="s">
        <v>297</v>
      </c>
      <c r="D93" s="5" t="s">
        <v>290</v>
      </c>
      <c r="E93" s="5" t="s">
        <v>71</v>
      </c>
    </row>
    <row r="94" customFormat="false" ht="15" hidden="false" customHeight="false" outlineLevel="0" collapsed="false">
      <c r="A94" s="4" t="s">
        <v>245</v>
      </c>
      <c r="B94" s="5" t="s">
        <v>297</v>
      </c>
      <c r="C94" s="5" t="s">
        <v>298</v>
      </c>
      <c r="D94" s="5" t="s">
        <v>292</v>
      </c>
      <c r="E94" s="5" t="s">
        <v>76</v>
      </c>
    </row>
    <row r="95" customFormat="false" ht="15" hidden="false" customHeight="false" outlineLevel="0" collapsed="false">
      <c r="A95" s="4" t="s">
        <v>247</v>
      </c>
      <c r="B95" s="5" t="s">
        <v>298</v>
      </c>
      <c r="C95" s="5" t="s">
        <v>288</v>
      </c>
      <c r="D95" s="5" t="s">
        <v>294</v>
      </c>
      <c r="E95" s="5" t="s">
        <v>16</v>
      </c>
    </row>
    <row r="96" customFormat="false" ht="15" hidden="false" customHeight="false" outlineLevel="0" collapsed="false">
      <c r="A96" s="4" t="s">
        <v>249</v>
      </c>
      <c r="B96" s="5" t="s">
        <v>288</v>
      </c>
      <c r="C96" s="5" t="s">
        <v>289</v>
      </c>
      <c r="D96" s="5" t="s">
        <v>296</v>
      </c>
      <c r="E96" s="5" t="s">
        <v>24</v>
      </c>
    </row>
    <row r="97" customFormat="false" ht="15" hidden="false" customHeight="false" outlineLevel="0" collapsed="false">
      <c r="A97" s="4" t="s">
        <v>251</v>
      </c>
      <c r="B97" s="5" t="s">
        <v>289</v>
      </c>
      <c r="C97" s="5" t="s">
        <v>291</v>
      </c>
      <c r="D97" s="5" t="s">
        <v>290</v>
      </c>
      <c r="E97" s="5" t="s">
        <v>31</v>
      </c>
    </row>
    <row r="98" customFormat="false" ht="15" hidden="false" customHeight="false" outlineLevel="0" collapsed="false">
      <c r="A98" s="4" t="s">
        <v>253</v>
      </c>
      <c r="B98" s="5" t="s">
        <v>291</v>
      </c>
      <c r="C98" s="5" t="s">
        <v>293</v>
      </c>
      <c r="D98" s="5" t="s">
        <v>292</v>
      </c>
      <c r="E98" s="5" t="s">
        <v>38</v>
      </c>
    </row>
    <row r="99" customFormat="false" ht="15" hidden="false" customHeight="false" outlineLevel="0" collapsed="false">
      <c r="A99" s="4" t="s">
        <v>255</v>
      </c>
      <c r="B99" s="5" t="s">
        <v>293</v>
      </c>
      <c r="C99" s="5" t="s">
        <v>295</v>
      </c>
      <c r="D99" s="5" t="s">
        <v>294</v>
      </c>
      <c r="E99" s="5" t="s">
        <v>46</v>
      </c>
    </row>
    <row r="100" customFormat="false" ht="15" hidden="false" customHeight="false" outlineLevel="0" collapsed="false">
      <c r="A100" s="4" t="s">
        <v>257</v>
      </c>
      <c r="B100" s="5" t="s">
        <v>295</v>
      </c>
      <c r="C100" s="5" t="s">
        <v>297</v>
      </c>
      <c r="D100" s="5" t="s">
        <v>296</v>
      </c>
      <c r="E100" s="5" t="s">
        <v>53</v>
      </c>
    </row>
    <row r="101" customFormat="false" ht="15" hidden="false" customHeight="false" outlineLevel="0" collapsed="false">
      <c r="A101" s="4" t="s">
        <v>259</v>
      </c>
      <c r="B101" s="5" t="s">
        <v>297</v>
      </c>
      <c r="C101" s="5" t="s">
        <v>298</v>
      </c>
      <c r="D101" s="5" t="s">
        <v>290</v>
      </c>
      <c r="E101" s="5" t="s">
        <v>60</v>
      </c>
    </row>
    <row r="102" customFormat="false" ht="15" hidden="false" customHeight="false" outlineLevel="0" collapsed="false">
      <c r="A102" s="4" t="s">
        <v>261</v>
      </c>
      <c r="B102" s="5" t="s">
        <v>298</v>
      </c>
      <c r="C102" s="5" t="s">
        <v>288</v>
      </c>
      <c r="D102" s="5" t="s">
        <v>292</v>
      </c>
      <c r="E102" s="5" t="s">
        <v>66</v>
      </c>
    </row>
    <row r="103" customFormat="false" ht="15" hidden="false" customHeight="false" outlineLevel="0" collapsed="false">
      <c r="A103" s="4" t="s">
        <v>263</v>
      </c>
      <c r="B103" s="5" t="s">
        <v>288</v>
      </c>
      <c r="C103" s="5" t="s">
        <v>289</v>
      </c>
      <c r="D103" s="5" t="s">
        <v>294</v>
      </c>
      <c r="E103" s="5" t="s">
        <v>71</v>
      </c>
    </row>
    <row r="104" customFormat="false" ht="15" hidden="false" customHeight="false" outlineLevel="0" collapsed="false">
      <c r="A104" s="4" t="s">
        <v>265</v>
      </c>
      <c r="B104" s="5" t="s">
        <v>289</v>
      </c>
      <c r="C104" s="5" t="s">
        <v>291</v>
      </c>
      <c r="D104" s="5" t="s">
        <v>296</v>
      </c>
      <c r="E104" s="5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2" t="s">
        <v>300</v>
      </c>
    </row>
    <row r="4" customFormat="false" ht="15" hidden="false" customHeight="false" outlineLevel="0" collapsed="false">
      <c r="A4" s="3" t="s">
        <v>301</v>
      </c>
      <c r="B4" s="3" t="s">
        <v>2</v>
      </c>
      <c r="C4" s="3" t="s">
        <v>302</v>
      </c>
      <c r="D4" s="3" t="s">
        <v>303</v>
      </c>
      <c r="E4" s="3" t="s">
        <v>304</v>
      </c>
      <c r="F4" s="3" t="s">
        <v>305</v>
      </c>
    </row>
    <row r="5" customFormat="false" ht="15" hidden="false" customHeight="false" outlineLevel="0" collapsed="false">
      <c r="A5" s="4" t="s">
        <v>306</v>
      </c>
      <c r="B5" s="5" t="s">
        <v>61</v>
      </c>
      <c r="C5" s="5" t="s">
        <v>288</v>
      </c>
      <c r="D5" s="5" t="s">
        <v>307</v>
      </c>
      <c r="E5" s="5" t="s">
        <v>308</v>
      </c>
      <c r="F5" s="5"/>
    </row>
    <row r="6" customFormat="false" ht="15" hidden="false" customHeight="false" outlineLevel="0" collapsed="false">
      <c r="A6" s="4" t="s">
        <v>309</v>
      </c>
      <c r="B6" s="5" t="s">
        <v>89</v>
      </c>
      <c r="C6" s="5" t="s">
        <v>288</v>
      </c>
      <c r="D6" s="5" t="s">
        <v>310</v>
      </c>
      <c r="E6" s="5" t="s">
        <v>311</v>
      </c>
      <c r="F6" s="5"/>
    </row>
    <row r="7" customFormat="false" ht="15" hidden="false" customHeight="false" outlineLevel="0" collapsed="false">
      <c r="A7" s="4" t="s">
        <v>312</v>
      </c>
      <c r="B7" s="5" t="s">
        <v>109</v>
      </c>
      <c r="C7" s="5" t="s">
        <v>288</v>
      </c>
      <c r="D7" s="5" t="s">
        <v>313</v>
      </c>
      <c r="E7" s="5" t="s">
        <v>314</v>
      </c>
      <c r="F7" s="5"/>
    </row>
    <row r="8" customFormat="false" ht="15" hidden="false" customHeight="false" outlineLevel="0" collapsed="false">
      <c r="A8" s="4" t="s">
        <v>315</v>
      </c>
      <c r="B8" s="5" t="s">
        <v>123</v>
      </c>
      <c r="C8" s="5" t="s">
        <v>288</v>
      </c>
      <c r="D8" s="5" t="s">
        <v>316</v>
      </c>
      <c r="E8" s="5" t="s">
        <v>308</v>
      </c>
      <c r="F8" s="5"/>
    </row>
    <row r="9" customFormat="false" ht="15" hidden="false" customHeight="false" outlineLevel="0" collapsed="false">
      <c r="A9" s="4" t="s">
        <v>317</v>
      </c>
      <c r="B9" s="5" t="s">
        <v>137</v>
      </c>
      <c r="C9" s="5" t="s">
        <v>288</v>
      </c>
      <c r="D9" s="5" t="s">
        <v>318</v>
      </c>
      <c r="E9" s="5" t="s">
        <v>308</v>
      </c>
      <c r="F9" s="5"/>
    </row>
    <row r="10" customFormat="false" ht="15" hidden="false" customHeight="false" outlineLevel="0" collapsed="false">
      <c r="A10" s="4" t="s">
        <v>319</v>
      </c>
      <c r="B10" s="5" t="s">
        <v>151</v>
      </c>
      <c r="C10" s="5" t="s">
        <v>288</v>
      </c>
      <c r="D10" s="5" t="s">
        <v>320</v>
      </c>
      <c r="E10" s="5" t="s">
        <v>308</v>
      </c>
      <c r="F10" s="5"/>
    </row>
    <row r="11" customFormat="false" ht="15" hidden="false" customHeight="false" outlineLevel="0" collapsed="false">
      <c r="A11" s="4" t="s">
        <v>321</v>
      </c>
      <c r="B11" s="5" t="s">
        <v>165</v>
      </c>
      <c r="C11" s="5" t="s">
        <v>288</v>
      </c>
      <c r="D11" s="5" t="s">
        <v>322</v>
      </c>
      <c r="E11" s="5" t="s">
        <v>308</v>
      </c>
      <c r="F11" s="5"/>
    </row>
    <row r="12" customFormat="false" ht="15" hidden="false" customHeight="false" outlineLevel="0" collapsed="false">
      <c r="A12" s="4" t="s">
        <v>323</v>
      </c>
      <c r="B12" s="5" t="s">
        <v>179</v>
      </c>
      <c r="C12" s="5" t="s">
        <v>288</v>
      </c>
      <c r="D12" s="5" t="s">
        <v>307</v>
      </c>
      <c r="E12" s="5" t="s">
        <v>314</v>
      </c>
      <c r="F12" s="5"/>
    </row>
    <row r="13" customFormat="false" ht="15" hidden="false" customHeight="false" outlineLevel="0" collapsed="false">
      <c r="A13" s="4" t="s">
        <v>324</v>
      </c>
      <c r="B13" s="5" t="s">
        <v>193</v>
      </c>
      <c r="C13" s="5" t="s">
        <v>288</v>
      </c>
      <c r="D13" s="5" t="s">
        <v>310</v>
      </c>
      <c r="E13" s="5" t="s">
        <v>308</v>
      </c>
      <c r="F13" s="5"/>
    </row>
    <row r="14" customFormat="false" ht="15" hidden="false" customHeight="false" outlineLevel="0" collapsed="false">
      <c r="A14" s="4" t="s">
        <v>325</v>
      </c>
      <c r="B14" s="5" t="s">
        <v>207</v>
      </c>
      <c r="C14" s="5" t="s">
        <v>288</v>
      </c>
      <c r="D14" s="5" t="s">
        <v>313</v>
      </c>
      <c r="E14" s="5" t="s">
        <v>308</v>
      </c>
      <c r="F14" s="5"/>
    </row>
    <row r="15" customFormat="false" ht="15" hidden="false" customHeight="false" outlineLevel="0" collapsed="false">
      <c r="A15" s="4" t="s">
        <v>326</v>
      </c>
      <c r="B15" s="5" t="s">
        <v>221</v>
      </c>
      <c r="C15" s="5" t="s">
        <v>288</v>
      </c>
      <c r="D15" s="5" t="s">
        <v>316</v>
      </c>
      <c r="E15" s="5" t="s">
        <v>311</v>
      </c>
      <c r="F15" s="5"/>
    </row>
    <row r="16" customFormat="false" ht="15" hidden="false" customHeight="false" outlineLevel="0" collapsed="false">
      <c r="A16" s="4" t="s">
        <v>327</v>
      </c>
      <c r="B16" s="5" t="s">
        <v>235</v>
      </c>
      <c r="C16" s="5" t="s">
        <v>288</v>
      </c>
      <c r="D16" s="5" t="s">
        <v>318</v>
      </c>
      <c r="E16" s="5" t="s">
        <v>308</v>
      </c>
      <c r="F16" s="5"/>
    </row>
    <row r="17" customFormat="false" ht="15" hidden="false" customHeight="false" outlineLevel="0" collapsed="false">
      <c r="A17" s="4" t="s">
        <v>328</v>
      </c>
      <c r="B17" s="5" t="s">
        <v>249</v>
      </c>
      <c r="C17" s="5" t="s">
        <v>288</v>
      </c>
      <c r="D17" s="5" t="s">
        <v>320</v>
      </c>
      <c r="E17" s="5" t="s">
        <v>308</v>
      </c>
      <c r="F17" s="5"/>
    </row>
    <row r="18" customFormat="false" ht="15" hidden="false" customHeight="false" outlineLevel="0" collapsed="false">
      <c r="A18" s="4" t="s">
        <v>329</v>
      </c>
      <c r="B18" s="5" t="s">
        <v>263</v>
      </c>
      <c r="C18" s="5" t="s">
        <v>288</v>
      </c>
      <c r="D18" s="5" t="s">
        <v>322</v>
      </c>
      <c r="E18" s="5" t="s">
        <v>308</v>
      </c>
      <c r="F18" s="5"/>
    </row>
    <row r="19" customFormat="false" ht="15" hidden="false" customHeight="false" outlineLevel="0" collapsed="false">
      <c r="A19" s="4" t="s">
        <v>330</v>
      </c>
      <c r="B19" s="5" t="s">
        <v>48</v>
      </c>
      <c r="C19" s="5" t="s">
        <v>297</v>
      </c>
      <c r="D19" s="5" t="s">
        <v>307</v>
      </c>
      <c r="E19" s="5" t="s">
        <v>311</v>
      </c>
      <c r="F19" s="5"/>
    </row>
    <row r="20" customFormat="false" ht="15" hidden="false" customHeight="false" outlineLevel="0" collapsed="false">
      <c r="A20" s="4" t="s">
        <v>331</v>
      </c>
      <c r="B20" s="5" t="s">
        <v>83</v>
      </c>
      <c r="C20" s="5" t="s">
        <v>297</v>
      </c>
      <c r="D20" s="5" t="s">
        <v>310</v>
      </c>
      <c r="E20" s="5" t="s">
        <v>311</v>
      </c>
      <c r="F20" s="5"/>
    </row>
    <row r="21" customFormat="false" ht="15" hidden="false" customHeight="false" outlineLevel="0" collapsed="false">
      <c r="A21" s="4" t="s">
        <v>332</v>
      </c>
      <c r="B21" s="5" t="s">
        <v>104</v>
      </c>
      <c r="C21" s="5" t="s">
        <v>297</v>
      </c>
      <c r="D21" s="5" t="s">
        <v>313</v>
      </c>
      <c r="E21" s="5" t="s">
        <v>308</v>
      </c>
      <c r="F21" s="5"/>
    </row>
    <row r="22" customFormat="false" ht="15" hidden="false" customHeight="false" outlineLevel="0" collapsed="false">
      <c r="A22" s="4" t="s">
        <v>333</v>
      </c>
      <c r="B22" s="5" t="s">
        <v>119</v>
      </c>
      <c r="C22" s="5" t="s">
        <v>297</v>
      </c>
      <c r="D22" s="5" t="s">
        <v>316</v>
      </c>
      <c r="E22" s="5" t="s">
        <v>308</v>
      </c>
      <c r="F22" s="5"/>
    </row>
    <row r="23" customFormat="false" ht="15" hidden="false" customHeight="false" outlineLevel="0" collapsed="false">
      <c r="A23" s="4" t="s">
        <v>334</v>
      </c>
      <c r="B23" s="5" t="s">
        <v>133</v>
      </c>
      <c r="C23" s="5" t="s">
        <v>297</v>
      </c>
      <c r="D23" s="5" t="s">
        <v>318</v>
      </c>
      <c r="E23" s="5" t="s">
        <v>311</v>
      </c>
      <c r="F23" s="5"/>
    </row>
    <row r="24" customFormat="false" ht="15" hidden="false" customHeight="false" outlineLevel="0" collapsed="false">
      <c r="A24" s="4" t="s">
        <v>335</v>
      </c>
      <c r="B24" s="5" t="s">
        <v>147</v>
      </c>
      <c r="C24" s="5" t="s">
        <v>297</v>
      </c>
      <c r="D24" s="5" t="s">
        <v>320</v>
      </c>
      <c r="E24" s="5" t="s">
        <v>308</v>
      </c>
      <c r="F24" s="5"/>
    </row>
    <row r="25" customFormat="false" ht="15" hidden="false" customHeight="false" outlineLevel="0" collapsed="false">
      <c r="A25" s="4" t="s">
        <v>336</v>
      </c>
      <c r="B25" s="5" t="s">
        <v>161</v>
      </c>
      <c r="C25" s="5" t="s">
        <v>297</v>
      </c>
      <c r="D25" s="5" t="s">
        <v>322</v>
      </c>
      <c r="E25" s="5" t="s">
        <v>308</v>
      </c>
      <c r="F25" s="5"/>
    </row>
    <row r="26" customFormat="false" ht="15" hidden="false" customHeight="false" outlineLevel="0" collapsed="false">
      <c r="A26" s="4" t="s">
        <v>337</v>
      </c>
      <c r="B26" s="5" t="s">
        <v>175</v>
      </c>
      <c r="C26" s="5" t="s">
        <v>297</v>
      </c>
      <c r="D26" s="5" t="s">
        <v>307</v>
      </c>
      <c r="E26" s="5" t="s">
        <v>311</v>
      </c>
      <c r="F26" s="5"/>
    </row>
    <row r="27" customFormat="false" ht="15" hidden="false" customHeight="false" outlineLevel="0" collapsed="false">
      <c r="A27" s="4" t="s">
        <v>338</v>
      </c>
      <c r="B27" s="5" t="s">
        <v>189</v>
      </c>
      <c r="C27" s="5" t="s">
        <v>297</v>
      </c>
      <c r="D27" s="5" t="s">
        <v>310</v>
      </c>
      <c r="E27" s="5" t="s">
        <v>314</v>
      </c>
      <c r="F27" s="5"/>
    </row>
    <row r="28" customFormat="false" ht="15" hidden="false" customHeight="false" outlineLevel="0" collapsed="false">
      <c r="A28" s="4" t="s">
        <v>339</v>
      </c>
      <c r="B28" s="5" t="s">
        <v>203</v>
      </c>
      <c r="C28" s="5" t="s">
        <v>297</v>
      </c>
      <c r="D28" s="5" t="s">
        <v>313</v>
      </c>
      <c r="E28" s="5" t="s">
        <v>308</v>
      </c>
      <c r="F28" s="5"/>
    </row>
    <row r="29" customFormat="false" ht="15" hidden="false" customHeight="false" outlineLevel="0" collapsed="false">
      <c r="A29" s="4" t="s">
        <v>340</v>
      </c>
      <c r="B29" s="5" t="s">
        <v>217</v>
      </c>
      <c r="C29" s="5" t="s">
        <v>297</v>
      </c>
      <c r="D29" s="5" t="s">
        <v>316</v>
      </c>
      <c r="E29" s="5" t="s">
        <v>308</v>
      </c>
      <c r="F29" s="5"/>
    </row>
    <row r="30" customFormat="false" ht="15" hidden="false" customHeight="false" outlineLevel="0" collapsed="false">
      <c r="A30" s="4" t="s">
        <v>341</v>
      </c>
      <c r="B30" s="5" t="s">
        <v>231</v>
      </c>
      <c r="C30" s="5" t="s">
        <v>297</v>
      </c>
      <c r="D30" s="5" t="s">
        <v>318</v>
      </c>
      <c r="E30" s="5" t="s">
        <v>308</v>
      </c>
      <c r="F30" s="5"/>
    </row>
    <row r="31" customFormat="false" ht="15" hidden="false" customHeight="false" outlineLevel="0" collapsed="false">
      <c r="A31" s="4" t="s">
        <v>342</v>
      </c>
      <c r="B31" s="5" t="s">
        <v>245</v>
      </c>
      <c r="C31" s="5" t="s">
        <v>297</v>
      </c>
      <c r="D31" s="5" t="s">
        <v>320</v>
      </c>
      <c r="E31" s="5" t="s">
        <v>308</v>
      </c>
      <c r="F31" s="5"/>
    </row>
    <row r="32" customFormat="false" ht="15" hidden="false" customHeight="false" outlineLevel="0" collapsed="false">
      <c r="A32" s="4" t="s">
        <v>343</v>
      </c>
      <c r="B32" s="5" t="s">
        <v>259</v>
      </c>
      <c r="C32" s="5" t="s">
        <v>297</v>
      </c>
      <c r="D32" s="5" t="s">
        <v>322</v>
      </c>
      <c r="E32" s="5" t="s">
        <v>308</v>
      </c>
      <c r="F32" s="5"/>
    </row>
    <row r="33" customFormat="false" ht="15" hidden="false" customHeight="false" outlineLevel="0" collapsed="false">
      <c r="A33" s="4" t="s">
        <v>344</v>
      </c>
      <c r="B33" s="5" t="s">
        <v>32</v>
      </c>
      <c r="C33" s="5" t="s">
        <v>293</v>
      </c>
      <c r="D33" s="5" t="s">
        <v>307</v>
      </c>
      <c r="E33" s="5" t="s">
        <v>311</v>
      </c>
      <c r="F33" s="5"/>
    </row>
    <row r="34" customFormat="false" ht="15" hidden="false" customHeight="false" outlineLevel="0" collapsed="false">
      <c r="A34" s="4" t="s">
        <v>345</v>
      </c>
      <c r="B34" s="5" t="s">
        <v>77</v>
      </c>
      <c r="C34" s="5" t="s">
        <v>293</v>
      </c>
      <c r="D34" s="5" t="s">
        <v>310</v>
      </c>
      <c r="E34" s="5" t="s">
        <v>308</v>
      </c>
      <c r="F34" s="5"/>
    </row>
    <row r="35" customFormat="false" ht="15" hidden="false" customHeight="false" outlineLevel="0" collapsed="false">
      <c r="A35" s="4" t="s">
        <v>346</v>
      </c>
      <c r="B35" s="5" t="s">
        <v>98</v>
      </c>
      <c r="C35" s="5" t="s">
        <v>293</v>
      </c>
      <c r="D35" s="5" t="s">
        <v>313</v>
      </c>
      <c r="E35" s="5" t="s">
        <v>308</v>
      </c>
      <c r="F35" s="5"/>
    </row>
    <row r="36" customFormat="false" ht="15" hidden="false" customHeight="false" outlineLevel="0" collapsed="false">
      <c r="A36" s="4" t="s">
        <v>347</v>
      </c>
      <c r="B36" s="5" t="s">
        <v>115</v>
      </c>
      <c r="C36" s="5" t="s">
        <v>293</v>
      </c>
      <c r="D36" s="5" t="s">
        <v>316</v>
      </c>
      <c r="E36" s="5" t="s">
        <v>308</v>
      </c>
      <c r="F36" s="5"/>
    </row>
    <row r="37" customFormat="false" ht="15" hidden="false" customHeight="false" outlineLevel="0" collapsed="false">
      <c r="A37" s="4" t="s">
        <v>348</v>
      </c>
      <c r="B37" s="5" t="s">
        <v>129</v>
      </c>
      <c r="C37" s="5" t="s">
        <v>293</v>
      </c>
      <c r="D37" s="5" t="s">
        <v>318</v>
      </c>
      <c r="E37" s="5" t="s">
        <v>314</v>
      </c>
      <c r="F37" s="5"/>
    </row>
    <row r="38" customFormat="false" ht="15" hidden="false" customHeight="false" outlineLevel="0" collapsed="false">
      <c r="A38" s="4" t="s">
        <v>349</v>
      </c>
      <c r="B38" s="5" t="s">
        <v>143</v>
      </c>
      <c r="C38" s="5" t="s">
        <v>293</v>
      </c>
      <c r="D38" s="5" t="s">
        <v>320</v>
      </c>
      <c r="E38" s="5" t="s">
        <v>308</v>
      </c>
      <c r="F38" s="5"/>
    </row>
    <row r="39" customFormat="false" ht="15" hidden="false" customHeight="false" outlineLevel="0" collapsed="false">
      <c r="A39" s="4" t="s">
        <v>350</v>
      </c>
      <c r="B39" s="5" t="s">
        <v>157</v>
      </c>
      <c r="C39" s="5" t="s">
        <v>293</v>
      </c>
      <c r="D39" s="5" t="s">
        <v>322</v>
      </c>
      <c r="E39" s="5" t="s">
        <v>308</v>
      </c>
      <c r="F39" s="5"/>
    </row>
    <row r="40" customFormat="false" ht="15" hidden="false" customHeight="false" outlineLevel="0" collapsed="false">
      <c r="A40" s="4" t="s">
        <v>351</v>
      </c>
      <c r="B40" s="5" t="s">
        <v>171</v>
      </c>
      <c r="C40" s="5" t="s">
        <v>293</v>
      </c>
      <c r="D40" s="5" t="s">
        <v>307</v>
      </c>
      <c r="E40" s="5" t="s">
        <v>311</v>
      </c>
      <c r="F40" s="5"/>
    </row>
    <row r="41" customFormat="false" ht="15" hidden="false" customHeight="false" outlineLevel="0" collapsed="false">
      <c r="A41" s="4" t="s">
        <v>352</v>
      </c>
      <c r="B41" s="5" t="s">
        <v>185</v>
      </c>
      <c r="C41" s="5" t="s">
        <v>293</v>
      </c>
      <c r="D41" s="5" t="s">
        <v>310</v>
      </c>
      <c r="E41" s="5" t="s">
        <v>314</v>
      </c>
      <c r="F41" s="5"/>
    </row>
    <row r="42" customFormat="false" ht="15" hidden="false" customHeight="false" outlineLevel="0" collapsed="false">
      <c r="A42" s="4" t="s">
        <v>353</v>
      </c>
      <c r="B42" s="5" t="s">
        <v>199</v>
      </c>
      <c r="C42" s="5" t="s">
        <v>293</v>
      </c>
      <c r="D42" s="5" t="s">
        <v>313</v>
      </c>
      <c r="E42" s="5" t="s">
        <v>308</v>
      </c>
      <c r="F42" s="5"/>
    </row>
    <row r="43" customFormat="false" ht="15" hidden="false" customHeight="false" outlineLevel="0" collapsed="false">
      <c r="A43" s="4" t="s">
        <v>354</v>
      </c>
      <c r="B43" s="5" t="s">
        <v>213</v>
      </c>
      <c r="C43" s="5" t="s">
        <v>293</v>
      </c>
      <c r="D43" s="5" t="s">
        <v>316</v>
      </c>
      <c r="E43" s="5" t="s">
        <v>314</v>
      </c>
      <c r="F43" s="5"/>
    </row>
    <row r="44" customFormat="false" ht="15" hidden="false" customHeight="false" outlineLevel="0" collapsed="false">
      <c r="A44" s="4" t="s">
        <v>355</v>
      </c>
      <c r="B44" s="5" t="s">
        <v>227</v>
      </c>
      <c r="C44" s="5" t="s">
        <v>293</v>
      </c>
      <c r="D44" s="5" t="s">
        <v>318</v>
      </c>
      <c r="E44" s="5" t="s">
        <v>308</v>
      </c>
      <c r="F44" s="5"/>
    </row>
    <row r="45" customFormat="false" ht="15" hidden="false" customHeight="false" outlineLevel="0" collapsed="false">
      <c r="A45" s="4" t="s">
        <v>356</v>
      </c>
      <c r="B45" s="5" t="s">
        <v>80</v>
      </c>
      <c r="C45" s="5" t="s">
        <v>289</v>
      </c>
      <c r="D45" s="5" t="s">
        <v>357</v>
      </c>
      <c r="E45" s="5" t="s">
        <v>314</v>
      </c>
      <c r="F45" s="5" t="s">
        <v>358</v>
      </c>
    </row>
    <row r="46" customFormat="false" ht="15" hidden="false" customHeight="false" outlineLevel="0" collapsed="false">
      <c r="A46" s="4" t="s">
        <v>359</v>
      </c>
      <c r="B46" s="5" t="s">
        <v>83</v>
      </c>
      <c r="C46" s="5" t="s">
        <v>289</v>
      </c>
      <c r="D46" s="5" t="s">
        <v>357</v>
      </c>
      <c r="E46" s="5" t="s">
        <v>314</v>
      </c>
      <c r="F46" s="5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2026-06-23T04:18:51Z</dcterms:created>
  <dc:creator>openpyxl</dc:creator>
  <dc:description/>
  <dc:language>en-US</dc:language>
  <cp:lastModifiedBy/>
  <dcterms:modified xsi:type="dcterms:W3CDTF">2026-06-23T04:18:51Z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